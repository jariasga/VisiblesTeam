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igos\DP1\VisiblesTeam\"/>
    </mc:Choice>
  </mc:AlternateContent>
  <bookViews>
    <workbookView xWindow="0" yWindow="0" windowWidth="10050" windowHeight="5160"/>
  </bookViews>
  <sheets>
    <sheet name="Informes de turnos" sheetId="1" r:id="rId1"/>
    <sheet name="Ratios por día" sheetId="2" r:id="rId2"/>
  </sheets>
  <functionGroups builtInGroupCount="18"/>
  <definedNames>
    <definedName name="_xlnm._FilterDatabase" localSheetId="0" hidden="1">'Informes de turnos'!$A$1:$H$79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" i="1" l="1"/>
  <c r="A81" i="1"/>
  <c r="A15" i="2" l="1"/>
  <c r="A16" i="2"/>
  <c r="A14" i="2"/>
  <c r="A12" i="2"/>
  <c r="A13" i="2"/>
  <c r="A11" i="2"/>
  <c r="A9" i="2"/>
  <c r="A10" i="2"/>
  <c r="A8" i="2"/>
  <c r="A6" i="2"/>
  <c r="A7" i="2"/>
  <c r="A5" i="2"/>
  <c r="A3" i="2"/>
  <c r="A4" i="2"/>
  <c r="A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3" i="1" l="1"/>
  <c r="A4" i="1"/>
  <c r="A5" i="1"/>
  <c r="A6" i="1"/>
  <c r="A7" i="1"/>
  <c r="A8" i="1"/>
  <c r="A9" i="1"/>
  <c r="A2" i="1"/>
  <c r="A35" i="1"/>
  <c r="A36" i="1"/>
  <c r="A37" i="1"/>
  <c r="A38" i="1"/>
  <c r="A39" i="1"/>
  <c r="A40" i="1"/>
  <c r="A41" i="1"/>
  <c r="A34" i="1"/>
  <c r="A27" i="1"/>
  <c r="A28" i="1"/>
  <c r="A29" i="1"/>
  <c r="A30" i="1"/>
  <c r="A31" i="1"/>
  <c r="A32" i="1"/>
  <c r="A33" i="1"/>
  <c r="A26" i="1"/>
  <c r="A19" i="1"/>
  <c r="A20" i="1"/>
  <c r="A21" i="1"/>
  <c r="A22" i="1"/>
  <c r="A23" i="1"/>
  <c r="A24" i="1"/>
  <c r="A18" i="1"/>
  <c r="A11" i="1"/>
  <c r="A12" i="1"/>
  <c r="A13" i="1"/>
  <c r="A14" i="1"/>
  <c r="A15" i="1"/>
  <c r="A16" i="1"/>
  <c r="A17" i="1"/>
  <c r="A10" i="1"/>
  <c r="A80" i="1" l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C20" i="2" l="1"/>
  <c r="C24" i="2"/>
  <c r="C27" i="2"/>
  <c r="C19" i="2"/>
  <c r="C28" i="2"/>
  <c r="C18" i="2"/>
  <c r="C21" i="2"/>
  <c r="C29" i="2"/>
  <c r="C22" i="2"/>
  <c r="C31" i="2"/>
  <c r="C25" i="2"/>
  <c r="C30" i="2"/>
  <c r="C23" i="2"/>
  <c r="C26" i="2"/>
  <c r="C17" i="2"/>
  <c r="C12" i="2"/>
  <c r="C5" i="2"/>
  <c r="C2" i="2"/>
  <c r="C4" i="2"/>
  <c r="C16" i="2"/>
  <c r="C13" i="2"/>
  <c r="C6" i="2"/>
  <c r="C10" i="2"/>
  <c r="C14" i="2"/>
  <c r="C8" i="2"/>
  <c r="C9" i="2"/>
  <c r="C11" i="2"/>
  <c r="C7" i="2"/>
  <c r="C15" i="2"/>
  <c r="C3" i="2"/>
</calcChain>
</file>

<file path=xl/sharedStrings.xml><?xml version="1.0" encoding="utf-8"?>
<sst xmlns="http://schemas.openxmlformats.org/spreadsheetml/2006/main" count="281" uniqueCount="34">
  <si>
    <t>Fecha</t>
  </si>
  <si>
    <t>Trabajador</t>
  </si>
  <si>
    <t>Puesto de trabajo</t>
  </si>
  <si>
    <t>Versión de receta</t>
  </si>
  <si>
    <t>Hora inicial</t>
  </si>
  <si>
    <t>Hora final</t>
  </si>
  <si>
    <t>Cantidad rota</t>
  </si>
  <si>
    <t>Cantidad producida</t>
  </si>
  <si>
    <t>Javier Arias</t>
  </si>
  <si>
    <t>Natalia Palomares</t>
  </si>
  <si>
    <t>Ricardo Vente</t>
  </si>
  <si>
    <t>Tallado de retablos</t>
  </si>
  <si>
    <t>Pintado de retablos</t>
  </si>
  <si>
    <t>Horneado de huacos</t>
  </si>
  <si>
    <t>Pintado de huacos</t>
  </si>
  <si>
    <t>Tallado de piedras</t>
  </si>
  <si>
    <t>Moldeado de huacos</t>
  </si>
  <si>
    <t>Camila Chavez</t>
  </si>
  <si>
    <t>Anthony Gutierrez</t>
  </si>
  <si>
    <t>Daniel Galan</t>
  </si>
  <si>
    <t>Flor de Maria Noriega</t>
  </si>
  <si>
    <t>Piedra Nacional Intermedia</t>
  </si>
  <si>
    <t>Huaco Nacional Avanzado</t>
  </si>
  <si>
    <t>Retablo Nacional Avanzado</t>
  </si>
  <si>
    <t>Retablo Nacional Intermedio</t>
  </si>
  <si>
    <t>Piedra Nacional Avanzada</t>
  </si>
  <si>
    <t>Mauricio Castañeda</t>
  </si>
  <si>
    <t>Piedra Exportacion</t>
  </si>
  <si>
    <t>Piedra Nacional Basica</t>
  </si>
  <si>
    <t>Retablo Exportacion</t>
  </si>
  <si>
    <t>Huaco Nacional Basico</t>
  </si>
  <si>
    <t>Huaco Exportacion</t>
  </si>
  <si>
    <t>Retablo Nacional Basico</t>
  </si>
  <si>
    <t>Huaco Nacional Intermedio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</si>
</sst>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161925</xdr:rowOff>
        </xdr:from>
        <xdr:to>
          <xdr:col>9</xdr:col>
          <xdr:colOff>514350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81"/>
  <sheetViews>
    <sheetView tabSelected="1" workbookViewId="0">
      <selection activeCell="J7" sqref="J7"/>
    </sheetView>
  </sheetViews>
  <sheetFormatPr baseColWidth="10" defaultRowHeight="15" x14ac:dyDescent="0.25"/>
  <cols>
    <col min="1" max="1" width="10.375" bestFit="1" customWidth="1"/>
    <col min="2" max="2" width="17.125" bestFit="1" customWidth="1"/>
    <col min="3" max="3" width="18.5" bestFit="1" customWidth="1"/>
    <col min="4" max="4" width="22.5" bestFit="1" customWidth="1"/>
    <col min="5" max="5" width="9.5" bestFit="1" customWidth="1"/>
    <col min="6" max="6" width="8.375" bestFit="1" customWidth="1"/>
    <col min="7" max="7" width="11.25" bestFit="1" customWidth="1"/>
    <col min="8" max="8" width="16" bestFit="1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f ca="1">TODAY()-9</f>
        <v>42904</v>
      </c>
      <c r="B2" t="s">
        <v>17</v>
      </c>
      <c r="C2" t="s">
        <v>14</v>
      </c>
      <c r="D2" t="s">
        <v>22</v>
      </c>
      <c r="E2" s="2">
        <v>0.34861111111111115</v>
      </c>
      <c r="F2" s="2">
        <v>0.56180555555555556</v>
      </c>
      <c r="G2">
        <v>23</v>
      </c>
      <c r="H2">
        <v>31</v>
      </c>
    </row>
    <row r="3" spans="1:8" x14ac:dyDescent="0.25">
      <c r="A3" s="1">
        <f t="shared" ref="A3:A9" ca="1" si="0">TODAY()-9</f>
        <v>42904</v>
      </c>
      <c r="B3" t="s">
        <v>8</v>
      </c>
      <c r="C3" t="s">
        <v>12</v>
      </c>
      <c r="D3" t="s">
        <v>29</v>
      </c>
      <c r="E3" s="2">
        <v>0.39444444444444443</v>
      </c>
      <c r="F3" s="2">
        <v>0.54722222222222217</v>
      </c>
      <c r="G3">
        <v>17</v>
      </c>
      <c r="H3">
        <v>32</v>
      </c>
    </row>
    <row r="4" spans="1:8" x14ac:dyDescent="0.25">
      <c r="A4" s="1">
        <f t="shared" ca="1" si="0"/>
        <v>42904</v>
      </c>
      <c r="B4" t="s">
        <v>20</v>
      </c>
      <c r="C4" t="s">
        <v>15</v>
      </c>
      <c r="D4" t="s">
        <v>25</v>
      </c>
      <c r="E4" s="2">
        <v>0.41250000000000003</v>
      </c>
      <c r="F4" s="2">
        <v>0.5541666666666667</v>
      </c>
      <c r="G4">
        <v>9</v>
      </c>
      <c r="H4">
        <v>10</v>
      </c>
    </row>
    <row r="5" spans="1:8" x14ac:dyDescent="0.25">
      <c r="A5" s="1">
        <f t="shared" ca="1" si="0"/>
        <v>42904</v>
      </c>
      <c r="B5" t="s">
        <v>19</v>
      </c>
      <c r="C5" t="s">
        <v>15</v>
      </c>
      <c r="D5" t="s">
        <v>25</v>
      </c>
      <c r="E5" s="2">
        <v>0.40972222222222227</v>
      </c>
      <c r="F5" s="2">
        <v>0.5756944444444444</v>
      </c>
      <c r="G5">
        <v>7</v>
      </c>
      <c r="H5">
        <v>36</v>
      </c>
    </row>
    <row r="6" spans="1:8" x14ac:dyDescent="0.25">
      <c r="A6" s="1">
        <f t="shared" ca="1" si="0"/>
        <v>42904</v>
      </c>
      <c r="B6" t="s">
        <v>18</v>
      </c>
      <c r="C6" t="s">
        <v>15</v>
      </c>
      <c r="D6" t="s">
        <v>25</v>
      </c>
      <c r="E6" s="2">
        <v>0.3347222222222222</v>
      </c>
      <c r="F6" s="2">
        <v>0.5708333333333333</v>
      </c>
      <c r="G6">
        <v>28</v>
      </c>
      <c r="H6">
        <v>40</v>
      </c>
    </row>
    <row r="7" spans="1:8" x14ac:dyDescent="0.25">
      <c r="A7" s="1">
        <f t="shared" ca="1" si="0"/>
        <v>42904</v>
      </c>
      <c r="B7" t="s">
        <v>9</v>
      </c>
      <c r="C7" t="s">
        <v>15</v>
      </c>
      <c r="D7" t="s">
        <v>21</v>
      </c>
      <c r="E7" s="2">
        <v>0.3833333333333333</v>
      </c>
      <c r="F7" s="2">
        <v>0.62222222222222223</v>
      </c>
      <c r="G7">
        <v>10</v>
      </c>
      <c r="H7">
        <v>35</v>
      </c>
    </row>
    <row r="8" spans="1:8" x14ac:dyDescent="0.25">
      <c r="A8" s="1">
        <f t="shared" ca="1" si="0"/>
        <v>42904</v>
      </c>
      <c r="B8" t="s">
        <v>26</v>
      </c>
      <c r="C8" t="s">
        <v>13</v>
      </c>
      <c r="D8" t="s">
        <v>30</v>
      </c>
      <c r="E8" s="2">
        <v>0.38125000000000003</v>
      </c>
      <c r="F8" s="2">
        <v>0.55069444444444449</v>
      </c>
      <c r="G8">
        <v>6</v>
      </c>
      <c r="H8">
        <v>12</v>
      </c>
    </row>
    <row r="9" spans="1:8" x14ac:dyDescent="0.25">
      <c r="A9" s="1">
        <f t="shared" ca="1" si="0"/>
        <v>42904</v>
      </c>
      <c r="B9" t="s">
        <v>10</v>
      </c>
      <c r="C9" t="s">
        <v>15</v>
      </c>
      <c r="D9" t="s">
        <v>21</v>
      </c>
      <c r="E9" s="2">
        <v>0.35138888888888892</v>
      </c>
      <c r="F9" s="2">
        <v>0.54861111111111105</v>
      </c>
      <c r="G9">
        <v>14</v>
      </c>
      <c r="H9">
        <v>40</v>
      </c>
    </row>
    <row r="10" spans="1:8" x14ac:dyDescent="0.25">
      <c r="A10" s="1">
        <f ca="1">TODAY()-8</f>
        <v>42905</v>
      </c>
      <c r="B10" t="s">
        <v>17</v>
      </c>
      <c r="C10" t="s">
        <v>15</v>
      </c>
      <c r="D10" t="s">
        <v>21</v>
      </c>
      <c r="E10" s="2">
        <v>0.3347222222222222</v>
      </c>
      <c r="F10" s="2">
        <v>0.56944444444444442</v>
      </c>
      <c r="G10">
        <v>11</v>
      </c>
      <c r="H10">
        <v>14</v>
      </c>
    </row>
    <row r="11" spans="1:8" x14ac:dyDescent="0.25">
      <c r="A11" s="1">
        <f t="shared" ref="A11:A17" ca="1" si="1">TODAY()-8</f>
        <v>42905</v>
      </c>
      <c r="B11" t="s">
        <v>8</v>
      </c>
      <c r="C11" t="s">
        <v>12</v>
      </c>
      <c r="D11" t="s">
        <v>32</v>
      </c>
      <c r="E11" s="2">
        <v>0.38680555555555557</v>
      </c>
      <c r="F11" s="2">
        <v>0.54513888888888895</v>
      </c>
      <c r="G11">
        <v>5</v>
      </c>
      <c r="H11">
        <v>28</v>
      </c>
    </row>
    <row r="12" spans="1:8" x14ac:dyDescent="0.25">
      <c r="A12" s="1">
        <f t="shared" ca="1" si="1"/>
        <v>42905</v>
      </c>
      <c r="B12" t="s">
        <v>20</v>
      </c>
      <c r="C12" t="s">
        <v>15</v>
      </c>
      <c r="D12" t="s">
        <v>21</v>
      </c>
      <c r="E12" s="2">
        <v>0.39166666666666666</v>
      </c>
      <c r="F12" s="2">
        <v>0.56666666666666665</v>
      </c>
      <c r="G12">
        <v>2</v>
      </c>
      <c r="H12">
        <v>11</v>
      </c>
    </row>
    <row r="13" spans="1:8" x14ac:dyDescent="0.25">
      <c r="A13" s="1">
        <f t="shared" ca="1" si="1"/>
        <v>42905</v>
      </c>
      <c r="B13" t="s">
        <v>19</v>
      </c>
      <c r="C13" t="s">
        <v>11</v>
      </c>
      <c r="D13" t="s">
        <v>29</v>
      </c>
      <c r="E13" s="2">
        <v>0.40416666666666662</v>
      </c>
      <c r="F13" s="2">
        <v>0.60763888888888895</v>
      </c>
      <c r="G13">
        <v>4</v>
      </c>
      <c r="H13">
        <v>30</v>
      </c>
    </row>
    <row r="14" spans="1:8" x14ac:dyDescent="0.25">
      <c r="A14" s="1">
        <f t="shared" ca="1" si="1"/>
        <v>42905</v>
      </c>
      <c r="B14" t="s">
        <v>18</v>
      </c>
      <c r="C14" t="s">
        <v>13</v>
      </c>
      <c r="D14" t="s">
        <v>22</v>
      </c>
      <c r="E14" s="2">
        <v>0.37638888888888888</v>
      </c>
      <c r="F14" s="2">
        <v>0.56458333333333333</v>
      </c>
      <c r="G14">
        <v>28</v>
      </c>
      <c r="H14">
        <v>36</v>
      </c>
    </row>
    <row r="15" spans="1:8" x14ac:dyDescent="0.25">
      <c r="A15" s="1">
        <f t="shared" ca="1" si="1"/>
        <v>42905</v>
      </c>
      <c r="B15" t="s">
        <v>9</v>
      </c>
      <c r="C15" t="s">
        <v>13</v>
      </c>
      <c r="D15" t="s">
        <v>22</v>
      </c>
      <c r="E15" s="2">
        <v>0.40763888888888888</v>
      </c>
      <c r="F15" s="2">
        <v>0.5805555555555556</v>
      </c>
      <c r="G15">
        <v>22</v>
      </c>
      <c r="H15">
        <v>23</v>
      </c>
    </row>
    <row r="16" spans="1:8" x14ac:dyDescent="0.25">
      <c r="A16" s="1">
        <f t="shared" ca="1" si="1"/>
        <v>42905</v>
      </c>
      <c r="B16" t="s">
        <v>26</v>
      </c>
      <c r="C16" t="s">
        <v>15</v>
      </c>
      <c r="D16" t="s">
        <v>27</v>
      </c>
      <c r="E16" s="2">
        <v>0.34027777777777773</v>
      </c>
      <c r="F16" s="2">
        <v>0.54236111111111118</v>
      </c>
      <c r="G16">
        <v>7</v>
      </c>
      <c r="H16">
        <v>35</v>
      </c>
    </row>
    <row r="17" spans="1:8" x14ac:dyDescent="0.25">
      <c r="A17" s="1">
        <f t="shared" ca="1" si="1"/>
        <v>42905</v>
      </c>
      <c r="B17" t="s">
        <v>10</v>
      </c>
      <c r="C17" t="s">
        <v>15</v>
      </c>
      <c r="D17" t="s">
        <v>27</v>
      </c>
      <c r="E17" s="2">
        <v>0.4152777777777778</v>
      </c>
      <c r="F17" s="2">
        <v>0.56805555555555554</v>
      </c>
      <c r="G17">
        <v>5</v>
      </c>
      <c r="H17">
        <v>35</v>
      </c>
    </row>
    <row r="18" spans="1:8" x14ac:dyDescent="0.25">
      <c r="A18" s="1">
        <f ca="1">TODAY()-7</f>
        <v>42906</v>
      </c>
      <c r="B18" t="s">
        <v>17</v>
      </c>
      <c r="C18" t="s">
        <v>16</v>
      </c>
      <c r="D18" t="s">
        <v>33</v>
      </c>
      <c r="E18" s="2">
        <v>0.3888888888888889</v>
      </c>
      <c r="F18" s="2">
        <v>0.60625000000000007</v>
      </c>
      <c r="G18">
        <v>25</v>
      </c>
      <c r="H18">
        <v>37</v>
      </c>
    </row>
    <row r="19" spans="1:8" x14ac:dyDescent="0.25">
      <c r="A19" s="1">
        <f t="shared" ref="A19:A25" ca="1" si="2">TODAY()-7</f>
        <v>42906</v>
      </c>
      <c r="B19" t="s">
        <v>8</v>
      </c>
      <c r="C19" t="s">
        <v>14</v>
      </c>
      <c r="D19" t="s">
        <v>22</v>
      </c>
      <c r="E19" s="2">
        <v>0.37638888888888888</v>
      </c>
      <c r="F19" s="2">
        <v>0.56874999999999998</v>
      </c>
      <c r="G19">
        <v>33</v>
      </c>
      <c r="H19">
        <v>34</v>
      </c>
    </row>
    <row r="20" spans="1:8" x14ac:dyDescent="0.25">
      <c r="A20" s="1">
        <f t="shared" ca="1" si="2"/>
        <v>42906</v>
      </c>
      <c r="B20" t="s">
        <v>20</v>
      </c>
      <c r="C20" t="s">
        <v>12</v>
      </c>
      <c r="D20" t="s">
        <v>32</v>
      </c>
      <c r="E20" s="2">
        <v>0.3833333333333333</v>
      </c>
      <c r="F20" s="2">
        <v>0.57361111111111118</v>
      </c>
      <c r="G20">
        <v>12</v>
      </c>
      <c r="H20">
        <v>14</v>
      </c>
    </row>
    <row r="21" spans="1:8" x14ac:dyDescent="0.25">
      <c r="A21" s="1">
        <f t="shared" ca="1" si="2"/>
        <v>42906</v>
      </c>
      <c r="B21" t="s">
        <v>19</v>
      </c>
      <c r="C21" t="s">
        <v>12</v>
      </c>
      <c r="D21" t="s">
        <v>24</v>
      </c>
      <c r="E21" s="2">
        <v>0.41597222222222219</v>
      </c>
      <c r="F21" s="2">
        <v>0.61111111111111105</v>
      </c>
      <c r="G21">
        <v>14</v>
      </c>
      <c r="H21">
        <v>23</v>
      </c>
    </row>
    <row r="22" spans="1:8" x14ac:dyDescent="0.25">
      <c r="A22" s="1">
        <f t="shared" ca="1" si="2"/>
        <v>42906</v>
      </c>
      <c r="B22" t="s">
        <v>18</v>
      </c>
      <c r="C22" t="s">
        <v>15</v>
      </c>
      <c r="D22" t="s">
        <v>27</v>
      </c>
      <c r="E22" s="2">
        <v>0.3972222222222222</v>
      </c>
      <c r="F22" s="2">
        <v>0.60763888888888895</v>
      </c>
      <c r="G22">
        <v>4</v>
      </c>
      <c r="H22">
        <v>29</v>
      </c>
    </row>
    <row r="23" spans="1:8" x14ac:dyDescent="0.25">
      <c r="A23" s="1">
        <f t="shared" ca="1" si="2"/>
        <v>42906</v>
      </c>
      <c r="B23" t="s">
        <v>9</v>
      </c>
      <c r="C23" t="s">
        <v>12</v>
      </c>
      <c r="D23" t="s">
        <v>23</v>
      </c>
      <c r="E23" s="2">
        <v>0.38611111111111113</v>
      </c>
      <c r="F23" s="2">
        <v>0.61249999999999993</v>
      </c>
      <c r="G23">
        <v>3</v>
      </c>
      <c r="H23">
        <v>12</v>
      </c>
    </row>
    <row r="24" spans="1:8" x14ac:dyDescent="0.25">
      <c r="A24" s="1">
        <f t="shared" ca="1" si="2"/>
        <v>42906</v>
      </c>
      <c r="B24" t="s">
        <v>26</v>
      </c>
      <c r="C24" t="s">
        <v>11</v>
      </c>
      <c r="D24" t="s">
        <v>24</v>
      </c>
      <c r="E24" s="2">
        <v>0.38194444444444442</v>
      </c>
      <c r="F24" s="2">
        <v>0.61041666666666672</v>
      </c>
      <c r="G24">
        <v>36</v>
      </c>
      <c r="H24">
        <v>38</v>
      </c>
    </row>
    <row r="25" spans="1:8" x14ac:dyDescent="0.25">
      <c r="A25" s="1">
        <f t="shared" ca="1" si="2"/>
        <v>42906</v>
      </c>
      <c r="B25" t="s">
        <v>10</v>
      </c>
      <c r="C25" t="s">
        <v>11</v>
      </c>
      <c r="D25" t="s">
        <v>32</v>
      </c>
      <c r="E25" s="2">
        <v>0.3347222222222222</v>
      </c>
      <c r="F25" s="2">
        <v>0.60486111111111118</v>
      </c>
      <c r="G25">
        <v>31</v>
      </c>
      <c r="H25">
        <v>40</v>
      </c>
    </row>
    <row r="26" spans="1:8" x14ac:dyDescent="0.25">
      <c r="A26" s="1">
        <f ca="1">TODAY()-6</f>
        <v>42907</v>
      </c>
      <c r="B26" t="s">
        <v>17</v>
      </c>
      <c r="C26" t="s">
        <v>16</v>
      </c>
      <c r="D26" t="s">
        <v>22</v>
      </c>
      <c r="E26" s="2">
        <v>0.35138888888888892</v>
      </c>
      <c r="F26" s="2">
        <v>0.55625000000000002</v>
      </c>
      <c r="G26">
        <v>27</v>
      </c>
      <c r="H26">
        <v>37</v>
      </c>
    </row>
    <row r="27" spans="1:8" x14ac:dyDescent="0.25">
      <c r="A27" s="1">
        <f t="shared" ref="A27:A33" ca="1" si="3">TODAY()-6</f>
        <v>42907</v>
      </c>
      <c r="B27" t="s">
        <v>8</v>
      </c>
      <c r="C27" t="s">
        <v>12</v>
      </c>
      <c r="D27" t="s">
        <v>32</v>
      </c>
      <c r="E27" s="2">
        <v>0.34513888888888888</v>
      </c>
      <c r="F27" s="2">
        <v>0.62361111111111112</v>
      </c>
      <c r="G27">
        <v>12</v>
      </c>
      <c r="H27">
        <v>31</v>
      </c>
    </row>
    <row r="28" spans="1:8" x14ac:dyDescent="0.25">
      <c r="A28" s="1">
        <f t="shared" ca="1" si="3"/>
        <v>42907</v>
      </c>
      <c r="B28" t="s">
        <v>20</v>
      </c>
      <c r="C28" t="s">
        <v>15</v>
      </c>
      <c r="D28" t="s">
        <v>25</v>
      </c>
      <c r="E28" s="2">
        <v>0.37916666666666665</v>
      </c>
      <c r="F28" s="2">
        <v>0.60763888888888895</v>
      </c>
      <c r="G28">
        <v>5</v>
      </c>
      <c r="H28">
        <v>39</v>
      </c>
    </row>
    <row r="29" spans="1:8" x14ac:dyDescent="0.25">
      <c r="A29" s="1">
        <f t="shared" ca="1" si="3"/>
        <v>42907</v>
      </c>
      <c r="B29" t="s">
        <v>19</v>
      </c>
      <c r="C29" t="s">
        <v>11</v>
      </c>
      <c r="D29" t="s">
        <v>29</v>
      </c>
      <c r="E29" s="2">
        <v>0.39097222222222222</v>
      </c>
      <c r="F29" s="2">
        <v>0.62361111111111112</v>
      </c>
      <c r="G29">
        <v>21</v>
      </c>
      <c r="H29">
        <v>22</v>
      </c>
    </row>
    <row r="30" spans="1:8" x14ac:dyDescent="0.25">
      <c r="A30" s="1">
        <f t="shared" ca="1" si="3"/>
        <v>42907</v>
      </c>
      <c r="B30" t="s">
        <v>18</v>
      </c>
      <c r="C30" t="s">
        <v>15</v>
      </c>
      <c r="D30" t="s">
        <v>27</v>
      </c>
      <c r="E30" s="2">
        <v>0.3430555555555555</v>
      </c>
      <c r="F30" s="2">
        <v>0.61388888888888882</v>
      </c>
      <c r="G30">
        <v>20</v>
      </c>
      <c r="H30">
        <v>32</v>
      </c>
    </row>
    <row r="31" spans="1:8" x14ac:dyDescent="0.25">
      <c r="A31" s="1">
        <f t="shared" ca="1" si="3"/>
        <v>42907</v>
      </c>
      <c r="B31" t="s">
        <v>9</v>
      </c>
      <c r="C31" t="s">
        <v>13</v>
      </c>
      <c r="D31" t="s">
        <v>22</v>
      </c>
      <c r="E31" s="2">
        <v>0.38680555555555557</v>
      </c>
      <c r="F31" s="2">
        <v>0.61249999999999993</v>
      </c>
      <c r="G31">
        <v>15</v>
      </c>
      <c r="H31">
        <v>17</v>
      </c>
    </row>
    <row r="32" spans="1:8" x14ac:dyDescent="0.25">
      <c r="A32" s="1">
        <f t="shared" ca="1" si="3"/>
        <v>42907</v>
      </c>
      <c r="B32" t="s">
        <v>26</v>
      </c>
      <c r="C32" t="s">
        <v>15</v>
      </c>
      <c r="D32" t="s">
        <v>27</v>
      </c>
      <c r="E32" s="2">
        <v>0.34166666666666662</v>
      </c>
      <c r="F32" s="2">
        <v>0.5805555555555556</v>
      </c>
      <c r="G32">
        <v>9</v>
      </c>
      <c r="H32">
        <v>11</v>
      </c>
    </row>
    <row r="33" spans="1:8" x14ac:dyDescent="0.25">
      <c r="A33" s="1">
        <f t="shared" ca="1" si="3"/>
        <v>42907</v>
      </c>
      <c r="B33" t="s">
        <v>10</v>
      </c>
      <c r="C33" t="s">
        <v>11</v>
      </c>
      <c r="D33" t="s">
        <v>24</v>
      </c>
      <c r="E33" s="2">
        <v>0.3923611111111111</v>
      </c>
      <c r="F33" s="2">
        <v>0.5805555555555556</v>
      </c>
      <c r="G33">
        <v>5</v>
      </c>
      <c r="H33">
        <v>27</v>
      </c>
    </row>
    <row r="34" spans="1:8" x14ac:dyDescent="0.25">
      <c r="A34" s="1">
        <f ca="1">TODAY()-5</f>
        <v>42908</v>
      </c>
      <c r="B34" t="s">
        <v>17</v>
      </c>
      <c r="C34" t="s">
        <v>14</v>
      </c>
      <c r="D34" t="s">
        <v>33</v>
      </c>
      <c r="E34" s="2">
        <v>0.34652777777777777</v>
      </c>
      <c r="F34" s="2">
        <v>0.57430555555555551</v>
      </c>
      <c r="G34">
        <v>4</v>
      </c>
      <c r="H34">
        <v>14</v>
      </c>
    </row>
    <row r="35" spans="1:8" x14ac:dyDescent="0.25">
      <c r="A35" s="1">
        <f t="shared" ref="A35:A41" ca="1" si="4">TODAY()-5</f>
        <v>42908</v>
      </c>
      <c r="B35" t="s">
        <v>8</v>
      </c>
      <c r="C35" t="s">
        <v>15</v>
      </c>
      <c r="D35" t="s">
        <v>25</v>
      </c>
      <c r="E35" s="2">
        <v>0.3444444444444445</v>
      </c>
      <c r="F35" s="2">
        <v>0.57708333333333328</v>
      </c>
      <c r="G35">
        <v>33</v>
      </c>
      <c r="H35">
        <v>38</v>
      </c>
    </row>
    <row r="36" spans="1:8" x14ac:dyDescent="0.25">
      <c r="A36" s="1">
        <f t="shared" ca="1" si="4"/>
        <v>42908</v>
      </c>
      <c r="B36" t="s">
        <v>20</v>
      </c>
      <c r="C36" t="s">
        <v>16</v>
      </c>
      <c r="D36" t="s">
        <v>33</v>
      </c>
      <c r="E36" s="2">
        <v>0.39513888888888887</v>
      </c>
      <c r="F36" s="2">
        <v>0.61805555555555558</v>
      </c>
      <c r="G36">
        <v>13</v>
      </c>
      <c r="H36">
        <v>16</v>
      </c>
    </row>
    <row r="37" spans="1:8" x14ac:dyDescent="0.25">
      <c r="A37" s="1">
        <f t="shared" ca="1" si="4"/>
        <v>42908</v>
      </c>
      <c r="B37" t="s">
        <v>19</v>
      </c>
      <c r="C37" t="s">
        <v>13</v>
      </c>
      <c r="D37" t="s">
        <v>33</v>
      </c>
      <c r="E37" s="2">
        <v>0.41319444444444442</v>
      </c>
      <c r="F37" s="2">
        <v>0.56388888888888888</v>
      </c>
      <c r="G37">
        <v>2</v>
      </c>
      <c r="H37">
        <v>15</v>
      </c>
    </row>
    <row r="38" spans="1:8" x14ac:dyDescent="0.25">
      <c r="A38" s="1">
        <f t="shared" ca="1" si="4"/>
        <v>42908</v>
      </c>
      <c r="B38" t="s">
        <v>18</v>
      </c>
      <c r="C38" t="s">
        <v>11</v>
      </c>
      <c r="D38" t="s">
        <v>29</v>
      </c>
      <c r="E38" s="2">
        <v>0.4145833333333333</v>
      </c>
      <c r="F38" s="2">
        <v>0.54652777777777783</v>
      </c>
      <c r="G38">
        <v>0</v>
      </c>
      <c r="H38">
        <v>32</v>
      </c>
    </row>
    <row r="39" spans="1:8" x14ac:dyDescent="0.25">
      <c r="A39" s="1">
        <f t="shared" ca="1" si="4"/>
        <v>42908</v>
      </c>
      <c r="B39" t="s">
        <v>9</v>
      </c>
      <c r="C39" t="s">
        <v>15</v>
      </c>
      <c r="D39" t="s">
        <v>27</v>
      </c>
      <c r="E39" s="2">
        <v>0.33819444444444446</v>
      </c>
      <c r="F39" s="2">
        <v>0.61527777777777781</v>
      </c>
      <c r="G39">
        <v>6</v>
      </c>
      <c r="H39">
        <v>37</v>
      </c>
    </row>
    <row r="40" spans="1:8" x14ac:dyDescent="0.25">
      <c r="A40" s="1">
        <f t="shared" ca="1" si="4"/>
        <v>42908</v>
      </c>
      <c r="B40" t="s">
        <v>26</v>
      </c>
      <c r="C40" t="s">
        <v>15</v>
      </c>
      <c r="D40" t="s">
        <v>28</v>
      </c>
      <c r="E40" s="2">
        <v>0.4069444444444445</v>
      </c>
      <c r="F40" s="2">
        <v>0.54375000000000007</v>
      </c>
      <c r="G40">
        <v>9</v>
      </c>
      <c r="H40">
        <v>11</v>
      </c>
    </row>
    <row r="41" spans="1:8" x14ac:dyDescent="0.25">
      <c r="A41" s="1">
        <f t="shared" ca="1" si="4"/>
        <v>42908</v>
      </c>
      <c r="B41" t="s">
        <v>10</v>
      </c>
      <c r="C41" t="s">
        <v>11</v>
      </c>
      <c r="D41" t="s">
        <v>23</v>
      </c>
      <c r="E41" s="2">
        <v>0.38263888888888892</v>
      </c>
      <c r="F41" s="2">
        <v>0.57708333333333328</v>
      </c>
      <c r="G41">
        <v>4</v>
      </c>
      <c r="H41">
        <v>18</v>
      </c>
    </row>
    <row r="42" spans="1:8" x14ac:dyDescent="0.25">
      <c r="A42" s="1">
        <f t="shared" ref="A42:A49" ca="1" si="5">TODAY()-4</f>
        <v>42909</v>
      </c>
      <c r="B42" t="s">
        <v>17</v>
      </c>
      <c r="C42" t="s">
        <v>15</v>
      </c>
      <c r="D42" t="s">
        <v>27</v>
      </c>
      <c r="E42" s="2">
        <v>0.38472222222222219</v>
      </c>
      <c r="F42" s="2">
        <v>0.55763888888888891</v>
      </c>
      <c r="G42">
        <v>26</v>
      </c>
      <c r="H42">
        <v>38</v>
      </c>
    </row>
    <row r="43" spans="1:8" x14ac:dyDescent="0.25">
      <c r="A43" s="1">
        <f t="shared" ca="1" si="5"/>
        <v>42909</v>
      </c>
      <c r="B43" t="s">
        <v>8</v>
      </c>
      <c r="C43" t="s">
        <v>15</v>
      </c>
      <c r="D43" t="s">
        <v>27</v>
      </c>
      <c r="E43" s="2">
        <v>0.3527777777777778</v>
      </c>
      <c r="F43" s="2">
        <v>0.56736111111111109</v>
      </c>
      <c r="G43">
        <v>4</v>
      </c>
      <c r="H43">
        <v>37</v>
      </c>
    </row>
    <row r="44" spans="1:8" x14ac:dyDescent="0.25">
      <c r="A44" s="1">
        <f t="shared" ca="1" si="5"/>
        <v>42909</v>
      </c>
      <c r="B44" t="s">
        <v>20</v>
      </c>
      <c r="C44" t="s">
        <v>13</v>
      </c>
      <c r="D44" t="s">
        <v>22</v>
      </c>
      <c r="E44" s="2">
        <v>0.39166666666666666</v>
      </c>
      <c r="F44" s="2">
        <v>0.55694444444444446</v>
      </c>
      <c r="G44">
        <v>23</v>
      </c>
      <c r="H44">
        <v>33</v>
      </c>
    </row>
    <row r="45" spans="1:8" x14ac:dyDescent="0.25">
      <c r="A45" s="1">
        <f t="shared" ca="1" si="5"/>
        <v>42909</v>
      </c>
      <c r="B45" t="s">
        <v>19</v>
      </c>
      <c r="C45" t="s">
        <v>15</v>
      </c>
      <c r="D45" t="s">
        <v>21</v>
      </c>
      <c r="E45" s="2">
        <v>0.4055555555555555</v>
      </c>
      <c r="F45" s="2">
        <v>0.54513888888888895</v>
      </c>
      <c r="G45">
        <v>25</v>
      </c>
      <c r="H45">
        <v>30</v>
      </c>
    </row>
    <row r="46" spans="1:8" x14ac:dyDescent="0.25">
      <c r="A46" s="1">
        <f t="shared" ca="1" si="5"/>
        <v>42909</v>
      </c>
      <c r="B46" t="s">
        <v>18</v>
      </c>
      <c r="C46" t="s">
        <v>14</v>
      </c>
      <c r="D46" t="s">
        <v>31</v>
      </c>
      <c r="E46" s="2">
        <v>0.34652777777777777</v>
      </c>
      <c r="F46" s="2">
        <v>0.5708333333333333</v>
      </c>
      <c r="G46">
        <v>3</v>
      </c>
      <c r="H46">
        <v>11</v>
      </c>
    </row>
    <row r="47" spans="1:8" x14ac:dyDescent="0.25">
      <c r="A47" s="1">
        <f t="shared" ca="1" si="5"/>
        <v>42909</v>
      </c>
      <c r="B47" t="s">
        <v>9</v>
      </c>
      <c r="C47" t="s">
        <v>12</v>
      </c>
      <c r="D47" t="s">
        <v>24</v>
      </c>
      <c r="E47" s="2">
        <v>0.4145833333333333</v>
      </c>
      <c r="F47" s="2">
        <v>0.56180555555555556</v>
      </c>
      <c r="G47">
        <v>22</v>
      </c>
      <c r="H47">
        <v>29</v>
      </c>
    </row>
    <row r="48" spans="1:8" x14ac:dyDescent="0.25">
      <c r="A48" s="1">
        <f t="shared" ca="1" si="5"/>
        <v>42909</v>
      </c>
      <c r="B48" t="s">
        <v>26</v>
      </c>
      <c r="C48" t="s">
        <v>13</v>
      </c>
      <c r="D48" t="s">
        <v>31</v>
      </c>
      <c r="E48" s="2">
        <v>0.34583333333333338</v>
      </c>
      <c r="F48" s="2">
        <v>0.57152777777777775</v>
      </c>
      <c r="G48">
        <v>13</v>
      </c>
      <c r="H48">
        <v>18</v>
      </c>
    </row>
    <row r="49" spans="1:8" x14ac:dyDescent="0.25">
      <c r="A49" s="1">
        <f t="shared" ca="1" si="5"/>
        <v>42909</v>
      </c>
      <c r="B49" t="s">
        <v>10</v>
      </c>
      <c r="C49" t="s">
        <v>12</v>
      </c>
      <c r="D49" t="s">
        <v>29</v>
      </c>
      <c r="E49" s="2">
        <v>0.3840277777777778</v>
      </c>
      <c r="F49" s="2">
        <v>0.55625000000000002</v>
      </c>
      <c r="G49">
        <v>12</v>
      </c>
      <c r="H49">
        <v>38</v>
      </c>
    </row>
    <row r="50" spans="1:8" x14ac:dyDescent="0.25">
      <c r="A50" s="1">
        <f ca="1">TODAY()-3</f>
        <v>42910</v>
      </c>
      <c r="B50" t="s">
        <v>17</v>
      </c>
      <c r="C50" t="s">
        <v>11</v>
      </c>
      <c r="D50" t="s">
        <v>23</v>
      </c>
      <c r="E50" s="2">
        <v>0.3972222222222222</v>
      </c>
      <c r="F50" s="2">
        <v>0.60486111111111118</v>
      </c>
      <c r="G50">
        <v>4</v>
      </c>
      <c r="H50">
        <v>30</v>
      </c>
    </row>
    <row r="51" spans="1:8" x14ac:dyDescent="0.25">
      <c r="A51" s="1">
        <f t="shared" ref="A51:A57" ca="1" si="6">TODAY()-3</f>
        <v>42910</v>
      </c>
      <c r="B51" t="s">
        <v>8</v>
      </c>
      <c r="C51" t="s">
        <v>12</v>
      </c>
      <c r="D51" t="s">
        <v>29</v>
      </c>
      <c r="E51" s="2">
        <v>0.38125000000000003</v>
      </c>
      <c r="F51" s="2">
        <v>0.60972222222222217</v>
      </c>
      <c r="G51">
        <v>6</v>
      </c>
      <c r="H51">
        <v>22</v>
      </c>
    </row>
    <row r="52" spans="1:8" x14ac:dyDescent="0.25">
      <c r="A52" s="1">
        <f t="shared" ca="1" si="6"/>
        <v>42910</v>
      </c>
      <c r="B52" t="s">
        <v>20</v>
      </c>
      <c r="C52" t="s">
        <v>15</v>
      </c>
      <c r="D52" t="s">
        <v>28</v>
      </c>
      <c r="E52" s="2">
        <v>0.33749999999999997</v>
      </c>
      <c r="F52" s="2">
        <v>0.56666666666666665</v>
      </c>
      <c r="G52">
        <v>19</v>
      </c>
      <c r="H52">
        <v>21</v>
      </c>
    </row>
    <row r="53" spans="1:8" x14ac:dyDescent="0.25">
      <c r="A53" s="1">
        <f t="shared" ca="1" si="6"/>
        <v>42910</v>
      </c>
      <c r="B53" t="s">
        <v>19</v>
      </c>
      <c r="C53" t="s">
        <v>11</v>
      </c>
      <c r="D53" t="s">
        <v>32</v>
      </c>
      <c r="E53" s="2">
        <v>0.33680555555555558</v>
      </c>
      <c r="F53" s="2">
        <v>0.56180555555555556</v>
      </c>
      <c r="G53">
        <v>14</v>
      </c>
      <c r="H53">
        <v>25</v>
      </c>
    </row>
    <row r="54" spans="1:8" x14ac:dyDescent="0.25">
      <c r="A54" s="1">
        <f t="shared" ca="1" si="6"/>
        <v>42910</v>
      </c>
      <c r="B54" t="s">
        <v>18</v>
      </c>
      <c r="C54" t="s">
        <v>12</v>
      </c>
      <c r="D54" t="s">
        <v>29</v>
      </c>
      <c r="E54" s="2">
        <v>0.39513888888888887</v>
      </c>
      <c r="F54" s="2">
        <v>0.5805555555555556</v>
      </c>
      <c r="G54">
        <v>6</v>
      </c>
      <c r="H54">
        <v>38</v>
      </c>
    </row>
    <row r="55" spans="1:8" x14ac:dyDescent="0.25">
      <c r="A55" s="1">
        <f t="shared" ca="1" si="6"/>
        <v>42910</v>
      </c>
      <c r="B55" t="s">
        <v>9</v>
      </c>
      <c r="C55" t="s">
        <v>14</v>
      </c>
      <c r="D55" t="s">
        <v>22</v>
      </c>
      <c r="E55" s="2">
        <v>0.37638888888888888</v>
      </c>
      <c r="F55" s="2">
        <v>0.56944444444444442</v>
      </c>
      <c r="G55">
        <v>3</v>
      </c>
      <c r="H55">
        <v>29</v>
      </c>
    </row>
    <row r="56" spans="1:8" x14ac:dyDescent="0.25">
      <c r="A56" s="1">
        <f t="shared" ca="1" si="6"/>
        <v>42910</v>
      </c>
      <c r="B56" t="s">
        <v>26</v>
      </c>
      <c r="C56" t="s">
        <v>15</v>
      </c>
      <c r="D56" t="s">
        <v>25</v>
      </c>
      <c r="E56" s="2">
        <v>0.38958333333333334</v>
      </c>
      <c r="F56" s="2">
        <v>0.61736111111111114</v>
      </c>
      <c r="G56">
        <v>9</v>
      </c>
      <c r="H56">
        <v>12</v>
      </c>
    </row>
    <row r="57" spans="1:8" x14ac:dyDescent="0.25">
      <c r="A57" s="1">
        <f t="shared" ca="1" si="6"/>
        <v>42910</v>
      </c>
      <c r="B57" t="s">
        <v>10</v>
      </c>
      <c r="C57" t="s">
        <v>15</v>
      </c>
      <c r="D57" t="s">
        <v>27</v>
      </c>
      <c r="E57" s="2">
        <v>0.38958333333333334</v>
      </c>
      <c r="F57" s="2">
        <v>0.55486111111111114</v>
      </c>
      <c r="G57">
        <v>15</v>
      </c>
      <c r="H57">
        <v>27</v>
      </c>
    </row>
    <row r="58" spans="1:8" x14ac:dyDescent="0.25">
      <c r="A58" s="1">
        <f ca="1">TODAY()-2</f>
        <v>42911</v>
      </c>
      <c r="B58" t="s">
        <v>17</v>
      </c>
      <c r="C58" t="s">
        <v>13</v>
      </c>
      <c r="D58" t="s">
        <v>22</v>
      </c>
      <c r="E58" s="2">
        <v>0.38680555555555557</v>
      </c>
      <c r="F58" s="2">
        <v>0.62083333333333335</v>
      </c>
      <c r="G58">
        <v>1</v>
      </c>
      <c r="H58">
        <v>13</v>
      </c>
    </row>
    <row r="59" spans="1:8" x14ac:dyDescent="0.25">
      <c r="A59" s="1">
        <f t="shared" ref="A59:A65" ca="1" si="7">TODAY()-2</f>
        <v>42911</v>
      </c>
      <c r="B59" t="s">
        <v>8</v>
      </c>
      <c r="C59" t="s">
        <v>14</v>
      </c>
      <c r="D59" t="s">
        <v>30</v>
      </c>
      <c r="E59" s="2">
        <v>0.3347222222222222</v>
      </c>
      <c r="F59" s="2">
        <v>0.6118055555555556</v>
      </c>
      <c r="G59">
        <v>23</v>
      </c>
      <c r="H59">
        <v>24</v>
      </c>
    </row>
    <row r="60" spans="1:8" x14ac:dyDescent="0.25">
      <c r="A60" s="1">
        <f t="shared" ca="1" si="7"/>
        <v>42911</v>
      </c>
      <c r="B60" t="s">
        <v>20</v>
      </c>
      <c r="C60" t="s">
        <v>13</v>
      </c>
      <c r="D60" t="s">
        <v>22</v>
      </c>
      <c r="E60" s="2">
        <v>0.40138888888888885</v>
      </c>
      <c r="F60" s="2">
        <v>0.54861111111111105</v>
      </c>
      <c r="G60">
        <v>19</v>
      </c>
      <c r="H60">
        <v>37</v>
      </c>
    </row>
    <row r="61" spans="1:8" x14ac:dyDescent="0.25">
      <c r="A61" s="1">
        <f t="shared" ca="1" si="7"/>
        <v>42911</v>
      </c>
      <c r="B61" t="s">
        <v>19</v>
      </c>
      <c r="C61" t="s">
        <v>15</v>
      </c>
      <c r="D61" t="s">
        <v>25</v>
      </c>
      <c r="E61" s="2">
        <v>0.40763888888888888</v>
      </c>
      <c r="F61" s="2">
        <v>0.56111111111111112</v>
      </c>
      <c r="G61">
        <v>15</v>
      </c>
      <c r="H61">
        <v>22</v>
      </c>
    </row>
    <row r="62" spans="1:8" x14ac:dyDescent="0.25">
      <c r="A62" s="1">
        <f t="shared" ca="1" si="7"/>
        <v>42911</v>
      </c>
      <c r="B62" t="s">
        <v>18</v>
      </c>
      <c r="C62" t="s">
        <v>14</v>
      </c>
      <c r="D62" t="s">
        <v>30</v>
      </c>
      <c r="E62" s="2">
        <v>0.34930555555555554</v>
      </c>
      <c r="F62" s="2">
        <v>0.62083333333333335</v>
      </c>
      <c r="G62">
        <v>11</v>
      </c>
      <c r="H62">
        <v>12</v>
      </c>
    </row>
    <row r="63" spans="1:8" x14ac:dyDescent="0.25">
      <c r="A63" s="1">
        <f t="shared" ca="1" si="7"/>
        <v>42911</v>
      </c>
      <c r="B63" t="s">
        <v>9</v>
      </c>
      <c r="C63" t="s">
        <v>15</v>
      </c>
      <c r="D63" t="s">
        <v>28</v>
      </c>
      <c r="E63" s="2">
        <v>0.40833333333333338</v>
      </c>
      <c r="F63" s="2">
        <v>0.61527777777777781</v>
      </c>
      <c r="G63">
        <v>20</v>
      </c>
      <c r="H63">
        <v>29</v>
      </c>
    </row>
    <row r="64" spans="1:8" x14ac:dyDescent="0.25">
      <c r="A64" s="1">
        <f t="shared" ca="1" si="7"/>
        <v>42911</v>
      </c>
      <c r="B64" t="s">
        <v>26</v>
      </c>
      <c r="C64" t="s">
        <v>14</v>
      </c>
      <c r="D64" t="s">
        <v>22</v>
      </c>
      <c r="E64" s="2">
        <v>0.34583333333333338</v>
      </c>
      <c r="F64" s="2">
        <v>0.6069444444444444</v>
      </c>
      <c r="G64">
        <v>33</v>
      </c>
      <c r="H64">
        <v>37</v>
      </c>
    </row>
    <row r="65" spans="1:8" x14ac:dyDescent="0.25">
      <c r="A65" s="1">
        <f t="shared" ca="1" si="7"/>
        <v>42911</v>
      </c>
      <c r="B65" t="s">
        <v>10</v>
      </c>
      <c r="C65" t="s">
        <v>11</v>
      </c>
      <c r="D65" t="s">
        <v>24</v>
      </c>
      <c r="E65" s="2">
        <v>0.39444444444444443</v>
      </c>
      <c r="F65" s="2">
        <v>0.5493055555555556</v>
      </c>
      <c r="G65">
        <v>20</v>
      </c>
      <c r="H65">
        <v>36</v>
      </c>
    </row>
    <row r="66" spans="1:8" x14ac:dyDescent="0.25">
      <c r="A66" s="1">
        <f ca="1">TODAY()-1</f>
        <v>42912</v>
      </c>
      <c r="B66" t="s">
        <v>17</v>
      </c>
      <c r="C66" t="s">
        <v>11</v>
      </c>
      <c r="D66" t="s">
        <v>24</v>
      </c>
      <c r="E66" s="2">
        <v>0.40625</v>
      </c>
      <c r="F66" s="2">
        <v>0.55972222222222223</v>
      </c>
      <c r="G66">
        <v>31</v>
      </c>
      <c r="H66">
        <v>34</v>
      </c>
    </row>
    <row r="67" spans="1:8" x14ac:dyDescent="0.25">
      <c r="A67" s="1">
        <f t="shared" ref="A67:A73" ca="1" si="8">TODAY()-1</f>
        <v>42912</v>
      </c>
      <c r="B67" t="s">
        <v>8</v>
      </c>
      <c r="C67" t="s">
        <v>12</v>
      </c>
      <c r="D67" t="s">
        <v>24</v>
      </c>
      <c r="E67" s="2">
        <v>0.34930555555555554</v>
      </c>
      <c r="F67" s="2">
        <v>0.56597222222222221</v>
      </c>
      <c r="G67">
        <v>1</v>
      </c>
      <c r="H67">
        <v>14</v>
      </c>
    </row>
    <row r="68" spans="1:8" x14ac:dyDescent="0.25">
      <c r="A68" s="1">
        <f t="shared" ca="1" si="8"/>
        <v>42912</v>
      </c>
      <c r="B68" t="s">
        <v>20</v>
      </c>
      <c r="C68" t="s">
        <v>14</v>
      </c>
      <c r="D68" t="s">
        <v>31</v>
      </c>
      <c r="E68" s="2">
        <v>0.40972222222222227</v>
      </c>
      <c r="F68" s="2">
        <v>0.56874999999999998</v>
      </c>
      <c r="G68">
        <v>11</v>
      </c>
      <c r="H68">
        <v>23</v>
      </c>
    </row>
    <row r="69" spans="1:8" x14ac:dyDescent="0.25">
      <c r="A69" s="1">
        <f t="shared" ca="1" si="8"/>
        <v>42912</v>
      </c>
      <c r="B69" t="s">
        <v>19</v>
      </c>
      <c r="C69" t="s">
        <v>13</v>
      </c>
      <c r="D69" t="s">
        <v>31</v>
      </c>
      <c r="E69" s="2">
        <v>0.3923611111111111</v>
      </c>
      <c r="F69" s="2">
        <v>0.54722222222222217</v>
      </c>
      <c r="G69">
        <v>9</v>
      </c>
      <c r="H69">
        <v>10</v>
      </c>
    </row>
    <row r="70" spans="1:8" x14ac:dyDescent="0.25">
      <c r="A70" s="1">
        <f t="shared" ca="1" si="8"/>
        <v>42912</v>
      </c>
      <c r="B70" t="s">
        <v>18</v>
      </c>
      <c r="C70" t="s">
        <v>14</v>
      </c>
      <c r="D70" t="s">
        <v>31</v>
      </c>
      <c r="E70" s="2">
        <v>0.33819444444444446</v>
      </c>
      <c r="F70" s="2">
        <v>0.57222222222222219</v>
      </c>
      <c r="G70">
        <v>8</v>
      </c>
      <c r="H70">
        <v>24</v>
      </c>
    </row>
    <row r="71" spans="1:8" x14ac:dyDescent="0.25">
      <c r="A71" s="1">
        <f t="shared" ca="1" si="8"/>
        <v>42912</v>
      </c>
      <c r="B71" t="s">
        <v>9</v>
      </c>
      <c r="C71" t="s">
        <v>12</v>
      </c>
      <c r="D71" t="s">
        <v>32</v>
      </c>
      <c r="E71" s="2">
        <v>0.38125000000000003</v>
      </c>
      <c r="F71" s="2">
        <v>0.5756944444444444</v>
      </c>
      <c r="G71">
        <v>20</v>
      </c>
      <c r="H71">
        <v>23</v>
      </c>
    </row>
    <row r="72" spans="1:8" x14ac:dyDescent="0.25">
      <c r="A72" s="1">
        <f t="shared" ca="1" si="8"/>
        <v>42912</v>
      </c>
      <c r="B72" t="s">
        <v>26</v>
      </c>
      <c r="C72" t="s">
        <v>11</v>
      </c>
      <c r="D72" t="s">
        <v>29</v>
      </c>
      <c r="E72" s="2">
        <v>0.34791666666666665</v>
      </c>
      <c r="F72" s="2">
        <v>0.56180555555555556</v>
      </c>
      <c r="G72">
        <v>15</v>
      </c>
      <c r="H72">
        <v>18</v>
      </c>
    </row>
    <row r="73" spans="1:8" x14ac:dyDescent="0.25">
      <c r="A73" s="1">
        <f t="shared" ca="1" si="8"/>
        <v>42912</v>
      </c>
      <c r="B73" t="s">
        <v>10</v>
      </c>
      <c r="C73" t="s">
        <v>15</v>
      </c>
      <c r="D73" t="s">
        <v>21</v>
      </c>
      <c r="E73" s="2">
        <v>0.37638888888888888</v>
      </c>
      <c r="F73" s="2">
        <v>0.6069444444444444</v>
      </c>
      <c r="G73">
        <v>5</v>
      </c>
      <c r="H73">
        <v>24</v>
      </c>
    </row>
    <row r="74" spans="1:8" x14ac:dyDescent="0.25">
      <c r="A74" s="1">
        <f ca="1">TODAY()</f>
        <v>42913</v>
      </c>
      <c r="B74" t="s">
        <v>17</v>
      </c>
      <c r="C74" t="s">
        <v>11</v>
      </c>
      <c r="D74" t="s">
        <v>24</v>
      </c>
      <c r="E74" s="2">
        <v>0.40138888888888885</v>
      </c>
      <c r="F74" s="2">
        <v>0.56874999999999998</v>
      </c>
      <c r="G74">
        <v>8</v>
      </c>
      <c r="H74">
        <v>12</v>
      </c>
    </row>
    <row r="75" spans="1:8" x14ac:dyDescent="0.25">
      <c r="A75" s="1">
        <f t="shared" ref="A75:A81" ca="1" si="9">TODAY()</f>
        <v>42913</v>
      </c>
      <c r="B75" t="s">
        <v>8</v>
      </c>
      <c r="C75" t="s">
        <v>12</v>
      </c>
      <c r="D75" t="s">
        <v>29</v>
      </c>
      <c r="E75" s="2">
        <v>0.41041666666666665</v>
      </c>
      <c r="F75" s="2">
        <v>0.61041666666666672</v>
      </c>
      <c r="G75">
        <v>10</v>
      </c>
      <c r="H75">
        <v>36</v>
      </c>
    </row>
    <row r="76" spans="1:8" x14ac:dyDescent="0.25">
      <c r="A76" s="1">
        <f t="shared" ca="1" si="9"/>
        <v>42913</v>
      </c>
      <c r="B76" t="s">
        <v>20</v>
      </c>
      <c r="C76" t="s">
        <v>11</v>
      </c>
      <c r="D76" t="s">
        <v>23</v>
      </c>
      <c r="E76" s="2">
        <v>0.3840277777777778</v>
      </c>
      <c r="F76" s="2">
        <v>0.56805555555555554</v>
      </c>
      <c r="G76">
        <v>23</v>
      </c>
      <c r="H76">
        <v>29</v>
      </c>
    </row>
    <row r="77" spans="1:8" x14ac:dyDescent="0.25">
      <c r="A77" s="1">
        <f t="shared" ca="1" si="9"/>
        <v>42913</v>
      </c>
      <c r="B77" t="s">
        <v>19</v>
      </c>
      <c r="C77" t="s">
        <v>15</v>
      </c>
      <c r="D77" t="s">
        <v>27</v>
      </c>
      <c r="E77" s="2">
        <v>0.3888888888888889</v>
      </c>
      <c r="F77" s="2">
        <v>0.56180555555555556</v>
      </c>
      <c r="G77">
        <v>20</v>
      </c>
      <c r="H77">
        <v>31</v>
      </c>
    </row>
    <row r="78" spans="1:8" x14ac:dyDescent="0.25">
      <c r="A78" s="1">
        <f t="shared" ca="1" si="9"/>
        <v>42913</v>
      </c>
      <c r="B78" t="s">
        <v>18</v>
      </c>
      <c r="C78" t="s">
        <v>11</v>
      </c>
      <c r="D78" t="s">
        <v>29</v>
      </c>
      <c r="E78" s="2">
        <v>0.40763888888888888</v>
      </c>
      <c r="F78" s="2">
        <v>0.57708333333333328</v>
      </c>
      <c r="G78">
        <v>3</v>
      </c>
      <c r="H78">
        <v>14</v>
      </c>
    </row>
    <row r="79" spans="1:8" x14ac:dyDescent="0.25">
      <c r="A79" s="1">
        <f t="shared" ca="1" si="9"/>
        <v>42913</v>
      </c>
      <c r="B79" t="s">
        <v>9</v>
      </c>
      <c r="C79" t="s">
        <v>14</v>
      </c>
      <c r="D79" t="s">
        <v>30</v>
      </c>
      <c r="E79" s="2">
        <v>0.38472222222222219</v>
      </c>
      <c r="F79" s="2">
        <v>0.57986111111111105</v>
      </c>
      <c r="G79">
        <v>31</v>
      </c>
      <c r="H79">
        <v>31</v>
      </c>
    </row>
    <row r="80" spans="1:8" x14ac:dyDescent="0.25">
      <c r="A80" s="1">
        <f t="shared" ca="1" si="9"/>
        <v>42913</v>
      </c>
      <c r="B80" t="s">
        <v>26</v>
      </c>
      <c r="C80" t="s">
        <v>14</v>
      </c>
      <c r="D80" t="s">
        <v>30</v>
      </c>
      <c r="E80" s="2">
        <v>0.39513888888888887</v>
      </c>
      <c r="F80" s="2">
        <v>0.5541666666666667</v>
      </c>
      <c r="G80">
        <v>9</v>
      </c>
      <c r="H80">
        <v>16</v>
      </c>
    </row>
    <row r="81" spans="1:8" x14ac:dyDescent="0.25">
      <c r="A81" s="1">
        <f t="shared" ca="1" si="9"/>
        <v>42913</v>
      </c>
      <c r="B81" t="s">
        <v>10</v>
      </c>
      <c r="C81" t="s">
        <v>15</v>
      </c>
      <c r="D81" t="s">
        <v>25</v>
      </c>
      <c r="E81" s="2">
        <v>0.38750000000000001</v>
      </c>
      <c r="F81" s="2">
        <v>0.54513888888888895</v>
      </c>
      <c r="G81">
        <v>2</v>
      </c>
      <c r="H81">
        <v>18</v>
      </c>
    </row>
  </sheetData>
  <autoFilter ref="A1:H79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Ratios">
                <anchor moveWithCells="1">
                  <from>
                    <xdr:col>8</xdr:col>
                    <xdr:colOff>342900</xdr:colOff>
                    <xdr:row>1</xdr:row>
                    <xdr:rowOff>161925</xdr:rowOff>
                  </from>
                  <to>
                    <xdr:col>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1"/>
  <sheetViews>
    <sheetView workbookViewId="0">
      <selection activeCell="E7" sqref="E7"/>
    </sheetView>
  </sheetViews>
  <sheetFormatPr baseColWidth="10" defaultRowHeight="15" x14ac:dyDescent="0.25"/>
  <cols>
    <col min="1" max="1" width="10.375" bestFit="1" customWidth="1"/>
    <col min="2" max="2" width="16.5" bestFit="1" customWidth="1"/>
    <col min="3" max="3" width="16" bestFit="1" customWidth="1"/>
  </cols>
  <sheetData>
    <row r="1" spans="1:3" x14ac:dyDescent="0.25">
      <c r="A1" s="3" t="s">
        <v>0</v>
      </c>
      <c r="B1" s="3" t="s">
        <v>2</v>
      </c>
      <c r="C1" s="3" t="s">
        <v>7</v>
      </c>
    </row>
    <row r="2" spans="1:3" x14ac:dyDescent="0.25">
      <c r="A2" s="1">
        <f ca="1">TODAY()-9</f>
        <v>42904</v>
      </c>
      <c r="B2" t="s">
        <v>13</v>
      </c>
      <c r="C2">
        <f ca="1">SUMIFS('Informes de turnos'!H:H,'Informes de turnos'!A:A,'Ratios por día'!A2,'Informes de turnos'!C:C,'Ratios por día'!B2)</f>
        <v>12</v>
      </c>
    </row>
    <row r="3" spans="1:3" x14ac:dyDescent="0.25">
      <c r="A3" s="1">
        <f t="shared" ref="A3:A4" ca="1" si="0">TODAY()-9</f>
        <v>42904</v>
      </c>
      <c r="B3" t="s">
        <v>15</v>
      </c>
      <c r="C3">
        <f ca="1">SUMIFS('Informes de turnos'!H:H,'Informes de turnos'!A:A,'Ratios por día'!A3,'Informes de turnos'!C:C,'Ratios por día'!B3)</f>
        <v>161</v>
      </c>
    </row>
    <row r="4" spans="1:3" x14ac:dyDescent="0.25">
      <c r="A4" s="1">
        <f t="shared" ca="1" si="0"/>
        <v>42904</v>
      </c>
      <c r="B4" t="s">
        <v>12</v>
      </c>
      <c r="C4">
        <f ca="1">SUMIFS('Informes de turnos'!H:H,'Informes de turnos'!A:A,'Ratios por día'!A4,'Informes de turnos'!C:C,'Ratios por día'!B4)</f>
        <v>32</v>
      </c>
    </row>
    <row r="5" spans="1:3" x14ac:dyDescent="0.25">
      <c r="A5" s="1">
        <f ca="1">TODAY()-8</f>
        <v>42905</v>
      </c>
      <c r="B5" t="s">
        <v>13</v>
      </c>
      <c r="C5">
        <f ca="1">SUMIFS('Informes de turnos'!H:H,'Informes de turnos'!A:A,'Ratios por día'!A5,'Informes de turnos'!C:C,'Ratios por día'!B5)</f>
        <v>59</v>
      </c>
    </row>
    <row r="6" spans="1:3" x14ac:dyDescent="0.25">
      <c r="A6" s="1">
        <f t="shared" ref="A6:A7" ca="1" si="1">TODAY()-8</f>
        <v>42905</v>
      </c>
      <c r="B6" t="s">
        <v>15</v>
      </c>
      <c r="C6">
        <f ca="1">SUMIFS('Informes de turnos'!H:H,'Informes de turnos'!A:A,'Ratios por día'!A6,'Informes de turnos'!C:C,'Ratios por día'!B6)</f>
        <v>95</v>
      </c>
    </row>
    <row r="7" spans="1:3" x14ac:dyDescent="0.25">
      <c r="A7" s="1">
        <f t="shared" ca="1" si="1"/>
        <v>42905</v>
      </c>
      <c r="B7" t="s">
        <v>12</v>
      </c>
      <c r="C7">
        <f ca="1">SUMIFS('Informes de turnos'!H:H,'Informes de turnos'!A:A,'Ratios por día'!A7,'Informes de turnos'!C:C,'Ratios por día'!B7)</f>
        <v>28</v>
      </c>
    </row>
    <row r="8" spans="1:3" x14ac:dyDescent="0.25">
      <c r="A8" s="1">
        <f ca="1">TODAY()-7</f>
        <v>42906</v>
      </c>
      <c r="B8" t="s">
        <v>13</v>
      </c>
      <c r="C8">
        <f ca="1">SUMIFS('Informes de turnos'!H:H,'Informes de turnos'!A:A,'Ratios por día'!A8,'Informes de turnos'!C:C,'Ratios por día'!B8)</f>
        <v>0</v>
      </c>
    </row>
    <row r="9" spans="1:3" x14ac:dyDescent="0.25">
      <c r="A9" s="1">
        <f t="shared" ref="A9:A10" ca="1" si="2">TODAY()-7</f>
        <v>42906</v>
      </c>
      <c r="B9" t="s">
        <v>15</v>
      </c>
      <c r="C9">
        <f ca="1">SUMIFS('Informes de turnos'!H:H,'Informes de turnos'!A:A,'Ratios por día'!A9,'Informes de turnos'!C:C,'Ratios por día'!B9)</f>
        <v>29</v>
      </c>
    </row>
    <row r="10" spans="1:3" x14ac:dyDescent="0.25">
      <c r="A10" s="1">
        <f t="shared" ca="1" si="2"/>
        <v>42906</v>
      </c>
      <c r="B10" t="s">
        <v>12</v>
      </c>
      <c r="C10">
        <f ca="1">SUMIFS('Informes de turnos'!H:H,'Informes de turnos'!A:A,'Ratios por día'!A10,'Informes de turnos'!C:C,'Ratios por día'!B10)</f>
        <v>49</v>
      </c>
    </row>
    <row r="11" spans="1:3" x14ac:dyDescent="0.25">
      <c r="A11" s="1">
        <f ca="1">TODAY()-6</f>
        <v>42907</v>
      </c>
      <c r="B11" t="s">
        <v>13</v>
      </c>
      <c r="C11">
        <f ca="1">SUMIFS('Informes de turnos'!H:H,'Informes de turnos'!A:A,'Ratios por día'!A11,'Informes de turnos'!C:C,'Ratios por día'!B11)</f>
        <v>17</v>
      </c>
    </row>
    <row r="12" spans="1:3" x14ac:dyDescent="0.25">
      <c r="A12" s="1">
        <f t="shared" ref="A12:A13" ca="1" si="3">TODAY()-6</f>
        <v>42907</v>
      </c>
      <c r="B12" t="s">
        <v>15</v>
      </c>
      <c r="C12">
        <f ca="1">SUMIFS('Informes de turnos'!H:H,'Informes de turnos'!A:A,'Ratios por día'!A12,'Informes de turnos'!C:C,'Ratios por día'!B12)</f>
        <v>82</v>
      </c>
    </row>
    <row r="13" spans="1:3" x14ac:dyDescent="0.25">
      <c r="A13" s="1">
        <f t="shared" ca="1" si="3"/>
        <v>42907</v>
      </c>
      <c r="B13" t="s">
        <v>12</v>
      </c>
      <c r="C13">
        <f ca="1">SUMIFS('Informes de turnos'!H:H,'Informes de turnos'!A:A,'Ratios por día'!A13,'Informes de turnos'!C:C,'Ratios por día'!B13)</f>
        <v>31</v>
      </c>
    </row>
    <row r="14" spans="1:3" x14ac:dyDescent="0.25">
      <c r="A14" s="1">
        <f ca="1">TODAY()-5</f>
        <v>42908</v>
      </c>
      <c r="B14" t="s">
        <v>13</v>
      </c>
      <c r="C14">
        <f ca="1">SUMIFS('Informes de turnos'!H:H,'Informes de turnos'!A:A,'Ratios por día'!A14,'Informes de turnos'!C:C,'Ratios por día'!B14)</f>
        <v>15</v>
      </c>
    </row>
    <row r="15" spans="1:3" x14ac:dyDescent="0.25">
      <c r="A15" s="1">
        <f t="shared" ref="A15:A16" ca="1" si="4">TODAY()-5</f>
        <v>42908</v>
      </c>
      <c r="B15" t="s">
        <v>15</v>
      </c>
      <c r="C15">
        <f ca="1">SUMIFS('Informes de turnos'!H:H,'Informes de turnos'!A:A,'Ratios por día'!A15,'Informes de turnos'!C:C,'Ratios por día'!B15)</f>
        <v>86</v>
      </c>
    </row>
    <row r="16" spans="1:3" x14ac:dyDescent="0.25">
      <c r="A16" s="1">
        <f t="shared" ca="1" si="4"/>
        <v>42908</v>
      </c>
      <c r="B16" t="s">
        <v>12</v>
      </c>
      <c r="C16">
        <f ca="1">SUMIFS('Informes de turnos'!H:H,'Informes de turnos'!A:A,'Ratios por día'!A16,'Informes de turnos'!C:C,'Ratios por día'!B16)</f>
        <v>0</v>
      </c>
    </row>
    <row r="17" spans="1:3" x14ac:dyDescent="0.25">
      <c r="A17" s="1">
        <f t="shared" ref="A17:A19" ca="1" si="5">TODAY()-4</f>
        <v>42909</v>
      </c>
      <c r="B17" t="s">
        <v>13</v>
      </c>
      <c r="C17">
        <f ca="1">SUMIFS('Informes de turnos'!H:H,'Informes de turnos'!A:A,'Ratios por día'!A17,'Informes de turnos'!C:C,'Ratios por día'!B17)</f>
        <v>51</v>
      </c>
    </row>
    <row r="18" spans="1:3" x14ac:dyDescent="0.25">
      <c r="A18" s="1">
        <f t="shared" ca="1" si="5"/>
        <v>42909</v>
      </c>
      <c r="B18" t="s">
        <v>15</v>
      </c>
      <c r="C18">
        <f ca="1">SUMIFS('Informes de turnos'!H:H,'Informes de turnos'!A:A,'Ratios por día'!A18,'Informes de turnos'!C:C,'Ratios por día'!B18)</f>
        <v>105</v>
      </c>
    </row>
    <row r="19" spans="1:3" x14ac:dyDescent="0.25">
      <c r="A19" s="1">
        <f t="shared" ca="1" si="5"/>
        <v>42909</v>
      </c>
      <c r="B19" t="s">
        <v>12</v>
      </c>
      <c r="C19">
        <f ca="1">SUMIFS('Informes de turnos'!H:H,'Informes de turnos'!A:A,'Ratios por día'!A19,'Informes de turnos'!C:C,'Ratios por día'!B19)</f>
        <v>67</v>
      </c>
    </row>
    <row r="20" spans="1:3" x14ac:dyDescent="0.25">
      <c r="A20" s="1">
        <f ca="1">TODAY()-3</f>
        <v>42910</v>
      </c>
      <c r="B20" t="s">
        <v>13</v>
      </c>
      <c r="C20">
        <f ca="1">SUMIFS('Informes de turnos'!H:H,'Informes de turnos'!A:A,'Ratios por día'!A20,'Informes de turnos'!C:C,'Ratios por día'!B20)</f>
        <v>0</v>
      </c>
    </row>
    <row r="21" spans="1:3" x14ac:dyDescent="0.25">
      <c r="A21" s="1">
        <f t="shared" ref="A21:A22" ca="1" si="6">TODAY()-3</f>
        <v>42910</v>
      </c>
      <c r="B21" t="s">
        <v>15</v>
      </c>
      <c r="C21">
        <f ca="1">SUMIFS('Informes de turnos'!H:H,'Informes de turnos'!A:A,'Ratios por día'!A21,'Informes de turnos'!C:C,'Ratios por día'!B21)</f>
        <v>60</v>
      </c>
    </row>
    <row r="22" spans="1:3" x14ac:dyDescent="0.25">
      <c r="A22" s="1">
        <f t="shared" ca="1" si="6"/>
        <v>42910</v>
      </c>
      <c r="B22" t="s">
        <v>12</v>
      </c>
      <c r="C22">
        <f ca="1">SUMIFS('Informes de turnos'!H:H,'Informes de turnos'!A:A,'Ratios por día'!A22,'Informes de turnos'!C:C,'Ratios por día'!B22)</f>
        <v>60</v>
      </c>
    </row>
    <row r="23" spans="1:3" x14ac:dyDescent="0.25">
      <c r="A23" s="1">
        <f t="shared" ref="A23:A25" ca="1" si="7">TODAY()-2</f>
        <v>42911</v>
      </c>
      <c r="B23" t="s">
        <v>13</v>
      </c>
      <c r="C23">
        <f ca="1">SUMIFS('Informes de turnos'!H:H,'Informes de turnos'!A:A,'Ratios por día'!A23,'Informes de turnos'!C:C,'Ratios por día'!B23)</f>
        <v>50</v>
      </c>
    </row>
    <row r="24" spans="1:3" x14ac:dyDescent="0.25">
      <c r="A24" s="1">
        <f t="shared" ca="1" si="7"/>
        <v>42911</v>
      </c>
      <c r="B24" t="s">
        <v>15</v>
      </c>
      <c r="C24">
        <f ca="1">SUMIFS('Informes de turnos'!H:H,'Informes de turnos'!A:A,'Ratios por día'!A24,'Informes de turnos'!C:C,'Ratios por día'!B24)</f>
        <v>51</v>
      </c>
    </row>
    <row r="25" spans="1:3" x14ac:dyDescent="0.25">
      <c r="A25" s="1">
        <f t="shared" ca="1" si="7"/>
        <v>42911</v>
      </c>
      <c r="B25" t="s">
        <v>12</v>
      </c>
      <c r="C25">
        <f ca="1">SUMIFS('Informes de turnos'!H:H,'Informes de turnos'!A:A,'Ratios por día'!A25,'Informes de turnos'!C:C,'Ratios por día'!B25)</f>
        <v>0</v>
      </c>
    </row>
    <row r="26" spans="1:3" x14ac:dyDescent="0.25">
      <c r="A26" s="1">
        <f t="shared" ref="A26:A28" ca="1" si="8">TODAY()-1</f>
        <v>42912</v>
      </c>
      <c r="B26" t="s">
        <v>13</v>
      </c>
      <c r="C26">
        <f ca="1">SUMIFS('Informes de turnos'!H:H,'Informes de turnos'!A:A,'Ratios por día'!A26,'Informes de turnos'!C:C,'Ratios por día'!B26)</f>
        <v>10</v>
      </c>
    </row>
    <row r="27" spans="1:3" x14ac:dyDescent="0.25">
      <c r="A27" s="1">
        <f t="shared" ca="1" si="8"/>
        <v>42912</v>
      </c>
      <c r="B27" t="s">
        <v>15</v>
      </c>
      <c r="C27">
        <f ca="1">SUMIFS('Informes de turnos'!H:H,'Informes de turnos'!A:A,'Ratios por día'!A27,'Informes de turnos'!C:C,'Ratios por día'!B27)</f>
        <v>24</v>
      </c>
    </row>
    <row r="28" spans="1:3" x14ac:dyDescent="0.25">
      <c r="A28" s="1">
        <f t="shared" ca="1" si="8"/>
        <v>42912</v>
      </c>
      <c r="B28" t="s">
        <v>12</v>
      </c>
      <c r="C28">
        <f ca="1">SUMIFS('Informes de turnos'!H:H,'Informes de turnos'!A:A,'Ratios por día'!A28,'Informes de turnos'!C:C,'Ratios por día'!B28)</f>
        <v>37</v>
      </c>
    </row>
    <row r="29" spans="1:3" x14ac:dyDescent="0.25">
      <c r="A29" s="1">
        <f t="shared" ref="A29:A31" ca="1" si="9">TODAY()</f>
        <v>42913</v>
      </c>
      <c r="B29" t="s">
        <v>13</v>
      </c>
      <c r="C29">
        <f ca="1">SUMIFS('Informes de turnos'!H:H,'Informes de turnos'!A:A,'Ratios por día'!A29,'Informes de turnos'!C:C,'Ratios por día'!B29)</f>
        <v>0</v>
      </c>
    </row>
    <row r="30" spans="1:3" x14ac:dyDescent="0.25">
      <c r="A30" s="1">
        <f t="shared" ca="1" si="9"/>
        <v>42913</v>
      </c>
      <c r="B30" t="s">
        <v>15</v>
      </c>
      <c r="C30">
        <f ca="1">SUMIFS('Informes de turnos'!H:H,'Informes de turnos'!A:A,'Ratios por día'!A30,'Informes de turnos'!C:C,'Ratios por día'!B30)</f>
        <v>49</v>
      </c>
    </row>
    <row r="31" spans="1:3" x14ac:dyDescent="0.25">
      <c r="A31" s="1">
        <f t="shared" ca="1" si="9"/>
        <v>42913</v>
      </c>
      <c r="B31" t="s">
        <v>12</v>
      </c>
      <c r="C31">
        <f ca="1">SUMIFS('Informes de turnos'!H:H,'Informes de turnos'!A:A,'Ratios por día'!A31,'Informes de turnos'!C:C,'Ratios por día'!B31)</f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Informes de turnos</vt:lpstr>
      <vt:lpstr>Ratios por día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Anthony</cp:lastModifiedBy>
  <dcterms:created xsi:type="dcterms:W3CDTF">2017-06-07T02:45:30Z</dcterms:created>
  <dcterms:modified xsi:type="dcterms:W3CDTF">2017-06-27T06:46:21Z</dcterms:modified>
</cp:coreProperties>
</file>