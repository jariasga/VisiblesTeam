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Codigos\DP1\VisiblesTeam\"/>
    </mc:Choice>
  </mc:AlternateContent>
  <bookViews>
    <workbookView xWindow="0" yWindow="0" windowWidth="10050" windowHeight="5160"/>
  </bookViews>
  <sheets>
    <sheet name="Informes de turnos" sheetId="1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1" i="1" l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</calcChain>
</file>

<file path=xl/sharedStrings.xml><?xml version="1.0" encoding="utf-8"?>
<sst xmlns="http://schemas.openxmlformats.org/spreadsheetml/2006/main" count="128" uniqueCount="36">
  <si>
    <t>Fecha</t>
  </si>
  <si>
    <t>Trabajador</t>
  </si>
  <si>
    <t>Puesto de trabajo</t>
  </si>
  <si>
    <t>Versión de receta</t>
  </si>
  <si>
    <t>Hora inicial</t>
  </si>
  <si>
    <t>Hora final</t>
  </si>
  <si>
    <t>Cantidad rota</t>
  </si>
  <si>
    <t>Cantidad producida</t>
  </si>
  <si>
    <t>Javier Arias</t>
  </si>
  <si>
    <t>Natalia Palomares</t>
  </si>
  <si>
    <t>Ricardo Vente</t>
  </si>
  <si>
    <t>Tallado de retablos</t>
  </si>
  <si>
    <t>Ver2.3</t>
  </si>
  <si>
    <t>Pintado de retablos</t>
  </si>
  <si>
    <t>Horneado de huacos</t>
  </si>
  <si>
    <t>Pintado de huacos</t>
  </si>
  <si>
    <t>huacoLoc1</t>
  </si>
  <si>
    <t>huacoPrueba</t>
  </si>
  <si>
    <t>HuacoRetrato</t>
  </si>
  <si>
    <t>Tallado de piedras</t>
  </si>
  <si>
    <t>retabloExp1</t>
  </si>
  <si>
    <t>Moldeado de huacos</t>
  </si>
  <si>
    <t>nuevo</t>
  </si>
  <si>
    <t>PiedraLoc1</t>
  </si>
  <si>
    <t>test2</t>
  </si>
  <si>
    <t>Camila Chavez</t>
  </si>
  <si>
    <t>Anthony Gutierrez</t>
  </si>
  <si>
    <t>Daniel Galan</t>
  </si>
  <si>
    <t>Flor de Maria Noriega</t>
  </si>
  <si>
    <t>RetabloExp2</t>
  </si>
  <si>
    <t>prueba</t>
  </si>
  <si>
    <t>Diana Lepage</t>
  </si>
  <si>
    <t>huacoPrueba3</t>
  </si>
  <si>
    <t>piedraPrueba</t>
  </si>
  <si>
    <t>piedras2</t>
  </si>
  <si>
    <t>piedraExp1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</si>
</sst>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1" fillId="0" borderId="0" xfId="0" applyFont="1"/>
    <xf numFmtId="2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</xdr:row>
          <xdr:rowOff>161925</xdr:rowOff>
        </xdr:from>
        <xdr:to>
          <xdr:col>9</xdr:col>
          <xdr:colOff>514350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H41"/>
  <sheetViews>
    <sheetView tabSelected="1" topLeftCell="A23" workbookViewId="0">
      <selection activeCell="D41" sqref="D41"/>
    </sheetView>
  </sheetViews>
  <sheetFormatPr baseColWidth="10" defaultRowHeight="15" x14ac:dyDescent="0.25"/>
  <cols>
    <col min="1" max="1" width="10.375" bestFit="1" customWidth="1"/>
    <col min="2" max="2" width="17.125" bestFit="1" customWidth="1"/>
    <col min="3" max="3" width="16.75" bestFit="1" customWidth="1"/>
    <col min="4" max="4" width="14.5" bestFit="1" customWidth="1"/>
    <col min="5" max="5" width="9.5" bestFit="1" customWidth="1"/>
    <col min="6" max="6" width="8.375" bestFit="1" customWidth="1"/>
    <col min="8" max="8" width="15.625" bestFit="1" customWidth="1"/>
  </cols>
  <sheetData>
    <row r="1" spans="1: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</row>
    <row r="2" spans="1:8" x14ac:dyDescent="0.25">
      <c r="A2" s="1">
        <f t="shared" ref="A2:A9" ca="1" si="0">TODAY()-4</f>
        <v>42892</v>
      </c>
      <c r="B2" t="s">
        <v>25</v>
      </c>
      <c r="C2" t="s">
        <v>19</v>
      </c>
      <c r="D2" t="s">
        <v>35</v>
      </c>
      <c r="E2" s="3">
        <v>0.39861111111111108</v>
      </c>
      <c r="F2" s="3">
        <v>0.57152777777777775</v>
      </c>
      <c r="G2">
        <v>5</v>
      </c>
      <c r="H2">
        <v>30</v>
      </c>
    </row>
    <row r="3" spans="1:8" x14ac:dyDescent="0.25">
      <c r="A3" s="1">
        <f t="shared" ca="1" si="0"/>
        <v>42892</v>
      </c>
      <c r="B3" t="s">
        <v>8</v>
      </c>
      <c r="C3" t="s">
        <v>15</v>
      </c>
      <c r="D3" t="s">
        <v>32</v>
      </c>
      <c r="E3" s="3">
        <v>0.40277777777777773</v>
      </c>
      <c r="F3" s="3">
        <v>0.54722222222222217</v>
      </c>
      <c r="G3">
        <v>15</v>
      </c>
      <c r="H3">
        <v>20</v>
      </c>
    </row>
    <row r="4" spans="1:8" x14ac:dyDescent="0.25">
      <c r="A4" s="1">
        <f t="shared" ca="1" si="0"/>
        <v>42892</v>
      </c>
      <c r="B4" t="s">
        <v>28</v>
      </c>
      <c r="C4" t="s">
        <v>15</v>
      </c>
      <c r="D4" t="s">
        <v>22</v>
      </c>
      <c r="E4" s="3">
        <v>0.33611111111111108</v>
      </c>
      <c r="F4" s="3">
        <v>0.54999999999999993</v>
      </c>
      <c r="G4">
        <v>26</v>
      </c>
      <c r="H4">
        <v>33</v>
      </c>
    </row>
    <row r="5" spans="1:8" x14ac:dyDescent="0.25">
      <c r="A5" s="1">
        <f t="shared" ca="1" si="0"/>
        <v>42892</v>
      </c>
      <c r="B5" t="s">
        <v>27</v>
      </c>
      <c r="C5" t="s">
        <v>13</v>
      </c>
      <c r="D5" t="s">
        <v>20</v>
      </c>
      <c r="E5" s="3">
        <v>0.40486111111111112</v>
      </c>
      <c r="F5" s="3">
        <v>0.61736111111111114</v>
      </c>
      <c r="G5">
        <v>15</v>
      </c>
      <c r="H5">
        <v>36</v>
      </c>
    </row>
    <row r="6" spans="1:8" x14ac:dyDescent="0.25">
      <c r="A6" s="1">
        <f t="shared" ca="1" si="0"/>
        <v>42892</v>
      </c>
      <c r="B6" t="s">
        <v>26</v>
      </c>
      <c r="C6" t="s">
        <v>19</v>
      </c>
      <c r="D6" t="s">
        <v>33</v>
      </c>
      <c r="E6" s="3">
        <v>0.3840277777777778</v>
      </c>
      <c r="F6" s="3">
        <v>0.55555555555555558</v>
      </c>
      <c r="G6">
        <v>18</v>
      </c>
      <c r="H6">
        <v>27</v>
      </c>
    </row>
    <row r="7" spans="1:8" x14ac:dyDescent="0.25">
      <c r="A7" s="1">
        <f t="shared" ca="1" si="0"/>
        <v>42892</v>
      </c>
      <c r="B7" t="s">
        <v>9</v>
      </c>
      <c r="C7" t="s">
        <v>15</v>
      </c>
      <c r="D7" t="s">
        <v>32</v>
      </c>
      <c r="E7" s="3">
        <v>0.34930555555555554</v>
      </c>
      <c r="F7" s="3">
        <v>0.56597222222222221</v>
      </c>
      <c r="G7">
        <v>19</v>
      </c>
      <c r="H7">
        <v>19</v>
      </c>
    </row>
    <row r="8" spans="1:8" x14ac:dyDescent="0.25">
      <c r="A8" s="1">
        <f t="shared" ca="1" si="0"/>
        <v>42892</v>
      </c>
      <c r="B8" t="s">
        <v>31</v>
      </c>
      <c r="C8" t="s">
        <v>14</v>
      </c>
      <c r="D8" t="s">
        <v>17</v>
      </c>
      <c r="E8" s="3">
        <v>0.39861111111111108</v>
      </c>
      <c r="F8" s="3">
        <v>0.54166666666666663</v>
      </c>
      <c r="G8">
        <v>4</v>
      </c>
      <c r="H8">
        <v>17</v>
      </c>
    </row>
    <row r="9" spans="1:8" x14ac:dyDescent="0.25">
      <c r="A9" s="1">
        <f t="shared" ca="1" si="0"/>
        <v>42892</v>
      </c>
      <c r="B9" t="s">
        <v>10</v>
      </c>
      <c r="C9" t="s">
        <v>19</v>
      </c>
      <c r="D9" t="s">
        <v>34</v>
      </c>
      <c r="E9" s="3">
        <v>0.34861111111111115</v>
      </c>
      <c r="F9" s="3">
        <v>0.60555555555555551</v>
      </c>
      <c r="G9">
        <v>17</v>
      </c>
      <c r="H9">
        <v>28</v>
      </c>
    </row>
    <row r="10" spans="1:8" x14ac:dyDescent="0.25">
      <c r="A10" s="1">
        <f ca="1">TODAY()-3</f>
        <v>42893</v>
      </c>
      <c r="B10" t="s">
        <v>25</v>
      </c>
      <c r="C10" t="s">
        <v>21</v>
      </c>
      <c r="D10" t="s">
        <v>16</v>
      </c>
      <c r="E10" s="3">
        <v>0.34861111111111115</v>
      </c>
      <c r="F10" s="3">
        <v>0.54583333333333328</v>
      </c>
      <c r="G10">
        <v>8</v>
      </c>
      <c r="H10">
        <v>28</v>
      </c>
    </row>
    <row r="11" spans="1:8" x14ac:dyDescent="0.25">
      <c r="A11" s="1">
        <f t="shared" ref="A11:A17" ca="1" si="1">TODAY()-3</f>
        <v>42893</v>
      </c>
      <c r="B11" t="s">
        <v>8</v>
      </c>
      <c r="C11" t="s">
        <v>13</v>
      </c>
      <c r="D11" t="s">
        <v>12</v>
      </c>
      <c r="E11" s="3">
        <v>0.33333333333333331</v>
      </c>
      <c r="F11" s="3">
        <v>0.57847222222222217</v>
      </c>
      <c r="G11">
        <v>10</v>
      </c>
      <c r="H11">
        <v>15</v>
      </c>
    </row>
    <row r="12" spans="1:8" x14ac:dyDescent="0.25">
      <c r="A12" s="1">
        <f t="shared" ca="1" si="1"/>
        <v>42893</v>
      </c>
      <c r="B12" t="s">
        <v>28</v>
      </c>
      <c r="C12" t="s">
        <v>14</v>
      </c>
      <c r="D12" t="s">
        <v>22</v>
      </c>
      <c r="E12" s="3">
        <v>0.34166666666666662</v>
      </c>
      <c r="F12" s="3">
        <v>0.55694444444444446</v>
      </c>
      <c r="G12">
        <v>18</v>
      </c>
      <c r="H12">
        <v>29</v>
      </c>
    </row>
    <row r="13" spans="1:8" x14ac:dyDescent="0.25">
      <c r="A13" s="1">
        <f t="shared" ca="1" si="1"/>
        <v>42893</v>
      </c>
      <c r="B13" t="s">
        <v>27</v>
      </c>
      <c r="C13" t="s">
        <v>11</v>
      </c>
      <c r="D13" t="s">
        <v>12</v>
      </c>
      <c r="E13" s="3">
        <v>0.38541666666666669</v>
      </c>
      <c r="F13" s="3">
        <v>0.57916666666666672</v>
      </c>
      <c r="G13">
        <v>13</v>
      </c>
      <c r="H13">
        <v>31</v>
      </c>
    </row>
    <row r="14" spans="1:8" x14ac:dyDescent="0.25">
      <c r="A14" s="1">
        <f t="shared" ca="1" si="1"/>
        <v>42893</v>
      </c>
      <c r="B14" t="s">
        <v>26</v>
      </c>
      <c r="C14" t="s">
        <v>13</v>
      </c>
      <c r="D14" t="s">
        <v>12</v>
      </c>
      <c r="E14" s="3">
        <v>0.38611111111111113</v>
      </c>
      <c r="F14" s="3">
        <v>0.57638888888888895</v>
      </c>
      <c r="G14">
        <v>31</v>
      </c>
      <c r="H14">
        <v>33</v>
      </c>
    </row>
    <row r="15" spans="1:8" x14ac:dyDescent="0.25">
      <c r="A15" s="1">
        <f t="shared" ca="1" si="1"/>
        <v>42893</v>
      </c>
      <c r="B15" t="s">
        <v>9</v>
      </c>
      <c r="C15" t="s">
        <v>15</v>
      </c>
      <c r="D15" t="s">
        <v>18</v>
      </c>
      <c r="E15" s="3">
        <v>0.38819444444444445</v>
      </c>
      <c r="F15" s="3">
        <v>0.5541666666666667</v>
      </c>
      <c r="G15">
        <v>14</v>
      </c>
      <c r="H15">
        <v>30</v>
      </c>
    </row>
    <row r="16" spans="1:8" x14ac:dyDescent="0.25">
      <c r="A16" s="1">
        <f t="shared" ca="1" si="1"/>
        <v>42893</v>
      </c>
      <c r="B16" t="s">
        <v>31</v>
      </c>
      <c r="C16" t="s">
        <v>15</v>
      </c>
      <c r="D16" t="s">
        <v>22</v>
      </c>
      <c r="E16" s="3">
        <v>0.3979166666666667</v>
      </c>
      <c r="F16" s="3">
        <v>0.56597222222222221</v>
      </c>
      <c r="G16">
        <v>1</v>
      </c>
      <c r="H16">
        <v>26</v>
      </c>
    </row>
    <row r="17" spans="1:8" x14ac:dyDescent="0.25">
      <c r="A17" s="1">
        <f t="shared" ca="1" si="1"/>
        <v>42893</v>
      </c>
      <c r="B17" t="s">
        <v>10</v>
      </c>
      <c r="C17" t="s">
        <v>14</v>
      </c>
      <c r="D17" t="s">
        <v>32</v>
      </c>
      <c r="E17" s="3">
        <v>0.35347222222222219</v>
      </c>
      <c r="F17" s="3">
        <v>0.62430555555555556</v>
      </c>
      <c r="G17">
        <v>7</v>
      </c>
      <c r="H17">
        <v>19</v>
      </c>
    </row>
    <row r="18" spans="1:8" x14ac:dyDescent="0.25">
      <c r="A18" s="1">
        <f ca="1">TODAY()-2</f>
        <v>42894</v>
      </c>
      <c r="B18" t="s">
        <v>25</v>
      </c>
      <c r="C18" t="s">
        <v>14</v>
      </c>
      <c r="D18" t="s">
        <v>17</v>
      </c>
      <c r="E18" s="3">
        <v>0.34791666666666665</v>
      </c>
      <c r="F18" s="3">
        <v>0.55833333333333335</v>
      </c>
      <c r="G18">
        <v>9</v>
      </c>
      <c r="H18">
        <v>32</v>
      </c>
    </row>
    <row r="19" spans="1:8" x14ac:dyDescent="0.25">
      <c r="A19" s="1">
        <f t="shared" ref="A19:A25" ca="1" si="2">TODAY()-2</f>
        <v>42894</v>
      </c>
      <c r="B19" t="s">
        <v>8</v>
      </c>
      <c r="C19" t="s">
        <v>19</v>
      </c>
      <c r="D19" t="s">
        <v>34</v>
      </c>
      <c r="E19" s="3">
        <v>0.4375</v>
      </c>
      <c r="F19" s="3">
        <v>0.62152777777777779</v>
      </c>
      <c r="G19">
        <v>15</v>
      </c>
      <c r="H19">
        <v>18</v>
      </c>
    </row>
    <row r="20" spans="1:8" x14ac:dyDescent="0.25">
      <c r="A20" s="1">
        <f t="shared" ca="1" si="2"/>
        <v>42894</v>
      </c>
      <c r="B20" t="s">
        <v>28</v>
      </c>
      <c r="C20" t="s">
        <v>13</v>
      </c>
      <c r="D20" t="s">
        <v>12</v>
      </c>
      <c r="E20" s="3">
        <v>0.4145833333333333</v>
      </c>
      <c r="F20" s="3">
        <v>0.55208333333333337</v>
      </c>
      <c r="G20">
        <v>3</v>
      </c>
      <c r="H20">
        <v>25</v>
      </c>
    </row>
    <row r="21" spans="1:8" x14ac:dyDescent="0.25">
      <c r="A21" s="1">
        <f t="shared" ca="1" si="2"/>
        <v>42894</v>
      </c>
      <c r="B21" t="s">
        <v>27</v>
      </c>
      <c r="C21" t="s">
        <v>15</v>
      </c>
      <c r="D21" t="s">
        <v>17</v>
      </c>
      <c r="E21" s="3">
        <v>0.33888888888888885</v>
      </c>
      <c r="F21" s="3">
        <v>0.55208333333333337</v>
      </c>
      <c r="G21">
        <v>2</v>
      </c>
      <c r="H21">
        <v>28</v>
      </c>
    </row>
    <row r="22" spans="1:8" x14ac:dyDescent="0.25">
      <c r="A22" s="1">
        <f t="shared" ca="1" si="2"/>
        <v>42894</v>
      </c>
      <c r="B22" t="s">
        <v>26</v>
      </c>
      <c r="C22" t="s">
        <v>14</v>
      </c>
      <c r="D22" t="s">
        <v>16</v>
      </c>
      <c r="E22" s="3">
        <v>0.34236111111111112</v>
      </c>
      <c r="F22" s="3">
        <v>0.58263888888888882</v>
      </c>
      <c r="G22">
        <v>25</v>
      </c>
      <c r="H22">
        <v>41</v>
      </c>
    </row>
    <row r="23" spans="1:8" x14ac:dyDescent="0.25">
      <c r="A23" s="1">
        <f t="shared" ca="1" si="2"/>
        <v>42894</v>
      </c>
      <c r="B23" t="s">
        <v>9</v>
      </c>
      <c r="C23" t="s">
        <v>14</v>
      </c>
      <c r="D23" t="s">
        <v>18</v>
      </c>
      <c r="E23" s="3">
        <v>0.35069444444444442</v>
      </c>
      <c r="F23" s="3">
        <v>0.57361111111111118</v>
      </c>
      <c r="G23">
        <v>9</v>
      </c>
      <c r="H23">
        <v>26</v>
      </c>
    </row>
    <row r="24" spans="1:8" x14ac:dyDescent="0.25">
      <c r="A24" s="1">
        <f t="shared" ca="1" si="2"/>
        <v>42894</v>
      </c>
      <c r="B24" t="s">
        <v>31</v>
      </c>
      <c r="C24" t="s">
        <v>19</v>
      </c>
      <c r="D24" t="s">
        <v>33</v>
      </c>
      <c r="E24" s="3">
        <v>0.33749999999999997</v>
      </c>
      <c r="F24" s="3">
        <v>0.56111111111111112</v>
      </c>
      <c r="G24">
        <v>12</v>
      </c>
      <c r="H24">
        <v>21</v>
      </c>
    </row>
    <row r="25" spans="1:8" x14ac:dyDescent="0.25">
      <c r="A25" s="1">
        <f t="shared" ca="1" si="2"/>
        <v>42894</v>
      </c>
      <c r="B25" t="s">
        <v>10</v>
      </c>
      <c r="C25" t="s">
        <v>13</v>
      </c>
      <c r="D25" t="s">
        <v>12</v>
      </c>
      <c r="E25" s="3">
        <v>0.41250000000000003</v>
      </c>
      <c r="F25" s="3">
        <v>0.54513888888888895</v>
      </c>
      <c r="G25">
        <v>1</v>
      </c>
      <c r="H25">
        <v>12</v>
      </c>
    </row>
    <row r="26" spans="1:8" x14ac:dyDescent="0.25">
      <c r="A26" s="1">
        <f ca="1">TODAY()-1</f>
        <v>42895</v>
      </c>
      <c r="B26" t="s">
        <v>25</v>
      </c>
      <c r="C26" t="s">
        <v>15</v>
      </c>
      <c r="D26" t="s">
        <v>16</v>
      </c>
      <c r="E26" s="3">
        <v>0.38125000000000003</v>
      </c>
      <c r="F26" s="3">
        <v>0.57916666666666672</v>
      </c>
      <c r="G26">
        <v>1</v>
      </c>
      <c r="H26">
        <v>14</v>
      </c>
    </row>
    <row r="27" spans="1:8" x14ac:dyDescent="0.25">
      <c r="A27" s="1">
        <f t="shared" ref="A27:A33" ca="1" si="3">TODAY()-1</f>
        <v>42895</v>
      </c>
      <c r="B27" t="s">
        <v>8</v>
      </c>
      <c r="C27" t="s">
        <v>11</v>
      </c>
      <c r="D27" t="s">
        <v>12</v>
      </c>
      <c r="E27" s="3">
        <v>0.39930555555555558</v>
      </c>
      <c r="F27" s="3">
        <v>0.5756944444444444</v>
      </c>
      <c r="G27">
        <v>6</v>
      </c>
      <c r="H27">
        <v>37</v>
      </c>
    </row>
    <row r="28" spans="1:8" x14ac:dyDescent="0.25">
      <c r="A28" s="1">
        <f t="shared" ca="1" si="3"/>
        <v>42895</v>
      </c>
      <c r="B28" t="s">
        <v>28</v>
      </c>
      <c r="C28" t="s">
        <v>14</v>
      </c>
      <c r="D28" t="s">
        <v>32</v>
      </c>
      <c r="E28" s="3">
        <v>0.34097222222222223</v>
      </c>
      <c r="F28" s="3">
        <v>0.54166666666666663</v>
      </c>
      <c r="G28">
        <v>9</v>
      </c>
      <c r="H28">
        <v>10</v>
      </c>
    </row>
    <row r="29" spans="1:8" x14ac:dyDescent="0.25">
      <c r="A29" s="1">
        <f t="shared" ca="1" si="3"/>
        <v>42895</v>
      </c>
      <c r="B29" t="s">
        <v>27</v>
      </c>
      <c r="C29" t="s">
        <v>14</v>
      </c>
      <c r="D29" t="s">
        <v>18</v>
      </c>
      <c r="E29" s="3">
        <v>0.34513888888888888</v>
      </c>
      <c r="F29" s="3">
        <v>0.54722222222222217</v>
      </c>
      <c r="G29">
        <v>7</v>
      </c>
      <c r="H29">
        <v>21</v>
      </c>
    </row>
    <row r="30" spans="1:8" x14ac:dyDescent="0.25">
      <c r="A30" s="1">
        <f t="shared" ca="1" si="3"/>
        <v>42895</v>
      </c>
      <c r="B30" t="s">
        <v>26</v>
      </c>
      <c r="C30" t="s">
        <v>19</v>
      </c>
      <c r="D30" t="s">
        <v>35</v>
      </c>
      <c r="E30" s="3">
        <v>0.3833333333333333</v>
      </c>
      <c r="F30" s="3">
        <v>0.60763888888888895</v>
      </c>
      <c r="G30">
        <v>18</v>
      </c>
      <c r="H30">
        <v>18</v>
      </c>
    </row>
    <row r="31" spans="1:8" x14ac:dyDescent="0.25">
      <c r="A31" s="1">
        <f t="shared" ca="1" si="3"/>
        <v>42895</v>
      </c>
      <c r="B31" t="s">
        <v>9</v>
      </c>
      <c r="C31" t="s">
        <v>19</v>
      </c>
      <c r="D31" t="s">
        <v>34</v>
      </c>
      <c r="E31" s="3">
        <v>0.40972222222222227</v>
      </c>
      <c r="F31" s="3">
        <v>0.54999999999999993</v>
      </c>
      <c r="G31">
        <v>24</v>
      </c>
      <c r="H31">
        <v>30</v>
      </c>
    </row>
    <row r="32" spans="1:8" x14ac:dyDescent="0.25">
      <c r="A32" s="1">
        <f t="shared" ca="1" si="3"/>
        <v>42895</v>
      </c>
      <c r="B32" t="s">
        <v>31</v>
      </c>
      <c r="C32" t="s">
        <v>21</v>
      </c>
      <c r="D32" t="s">
        <v>16</v>
      </c>
      <c r="E32" s="3">
        <v>0.33958333333333335</v>
      </c>
      <c r="F32" s="3">
        <v>0.56597222222222221</v>
      </c>
      <c r="G32">
        <v>27</v>
      </c>
      <c r="H32">
        <v>27</v>
      </c>
    </row>
    <row r="33" spans="1:8" x14ac:dyDescent="0.25">
      <c r="A33" s="1">
        <f t="shared" ca="1" si="3"/>
        <v>42895</v>
      </c>
      <c r="B33" t="s">
        <v>10</v>
      </c>
      <c r="C33" t="s">
        <v>15</v>
      </c>
      <c r="D33" t="s">
        <v>17</v>
      </c>
      <c r="E33" s="3">
        <v>0.38958333333333334</v>
      </c>
      <c r="F33" s="3">
        <v>0.55138888888888882</v>
      </c>
      <c r="G33">
        <v>15</v>
      </c>
      <c r="H33">
        <v>17</v>
      </c>
    </row>
    <row r="34" spans="1:8" x14ac:dyDescent="0.25">
      <c r="A34" s="1">
        <f ca="1">TODAY()</f>
        <v>42896</v>
      </c>
      <c r="B34" t="s">
        <v>25</v>
      </c>
      <c r="C34" t="s">
        <v>21</v>
      </c>
      <c r="D34" t="s">
        <v>16</v>
      </c>
      <c r="E34" s="3">
        <v>0.39444444444444443</v>
      </c>
      <c r="F34" s="3">
        <v>0.61527777777777781</v>
      </c>
      <c r="G34">
        <v>37</v>
      </c>
      <c r="H34">
        <v>36</v>
      </c>
    </row>
    <row r="35" spans="1:8" x14ac:dyDescent="0.25">
      <c r="A35" s="1">
        <f t="shared" ref="A35:A41" ca="1" si="4">TODAY()</f>
        <v>42896</v>
      </c>
      <c r="B35" t="s">
        <v>8</v>
      </c>
      <c r="C35" t="s">
        <v>15</v>
      </c>
      <c r="D35" t="s">
        <v>22</v>
      </c>
      <c r="E35" s="3">
        <v>0.34375</v>
      </c>
      <c r="F35" s="3">
        <v>0.57847222222222217</v>
      </c>
      <c r="G35">
        <v>11</v>
      </c>
      <c r="H35">
        <v>29</v>
      </c>
    </row>
    <row r="36" spans="1:8" x14ac:dyDescent="0.25">
      <c r="A36" s="1">
        <f t="shared" ca="1" si="4"/>
        <v>42896</v>
      </c>
      <c r="B36" t="s">
        <v>28</v>
      </c>
      <c r="C36" t="s">
        <v>19</v>
      </c>
      <c r="D36" t="s">
        <v>24</v>
      </c>
      <c r="E36" s="3">
        <v>0.39374999999999999</v>
      </c>
      <c r="F36" s="3">
        <v>0.61111111111111105</v>
      </c>
      <c r="G36">
        <v>18</v>
      </c>
      <c r="H36">
        <v>23</v>
      </c>
    </row>
    <row r="37" spans="1:8" x14ac:dyDescent="0.25">
      <c r="A37" s="1">
        <f t="shared" ca="1" si="4"/>
        <v>42896</v>
      </c>
      <c r="B37" t="s">
        <v>27</v>
      </c>
      <c r="C37" t="s">
        <v>19</v>
      </c>
      <c r="D37" t="s">
        <v>23</v>
      </c>
      <c r="E37" s="3">
        <v>0.33611111111111108</v>
      </c>
      <c r="F37" s="3">
        <v>0.54375000000000007</v>
      </c>
      <c r="G37">
        <v>9</v>
      </c>
      <c r="H37">
        <v>23</v>
      </c>
    </row>
    <row r="38" spans="1:8" x14ac:dyDescent="0.25">
      <c r="A38" s="1">
        <f t="shared" ca="1" si="4"/>
        <v>42896</v>
      </c>
      <c r="B38" t="s">
        <v>26</v>
      </c>
      <c r="C38" t="s">
        <v>11</v>
      </c>
      <c r="D38" t="s">
        <v>20</v>
      </c>
      <c r="E38" s="3">
        <v>0.40277777777777773</v>
      </c>
      <c r="F38" s="3">
        <v>0.57222222222222219</v>
      </c>
      <c r="G38">
        <v>11</v>
      </c>
      <c r="H38">
        <v>40</v>
      </c>
    </row>
    <row r="39" spans="1:8" x14ac:dyDescent="0.25">
      <c r="A39" s="1">
        <f t="shared" ca="1" si="4"/>
        <v>42896</v>
      </c>
      <c r="B39" t="s">
        <v>9</v>
      </c>
      <c r="C39" t="s">
        <v>21</v>
      </c>
      <c r="D39" t="s">
        <v>30</v>
      </c>
      <c r="E39" s="3">
        <v>0.37847222222222227</v>
      </c>
      <c r="F39" s="3">
        <v>0.57847222222222217</v>
      </c>
      <c r="G39">
        <v>30</v>
      </c>
      <c r="H39">
        <v>34</v>
      </c>
    </row>
    <row r="40" spans="1:8" x14ac:dyDescent="0.25">
      <c r="A40" s="1">
        <f t="shared" ca="1" si="4"/>
        <v>42896</v>
      </c>
      <c r="B40" t="s">
        <v>31</v>
      </c>
      <c r="C40" t="s">
        <v>14</v>
      </c>
      <c r="D40" t="s">
        <v>17</v>
      </c>
      <c r="E40" s="3">
        <v>0.3888888888888889</v>
      </c>
      <c r="F40" s="3">
        <v>0.55694444444444446</v>
      </c>
      <c r="G40">
        <v>20</v>
      </c>
      <c r="H40">
        <v>23</v>
      </c>
    </row>
    <row r="41" spans="1:8" x14ac:dyDescent="0.25">
      <c r="A41" s="1">
        <f t="shared" ca="1" si="4"/>
        <v>42896</v>
      </c>
      <c r="B41" t="s">
        <v>10</v>
      </c>
      <c r="C41" t="s">
        <v>11</v>
      </c>
      <c r="D41" t="s">
        <v>29</v>
      </c>
      <c r="E41" s="3">
        <v>0.37986111111111115</v>
      </c>
      <c r="F41" s="3">
        <v>0.55625000000000002</v>
      </c>
      <c r="G41">
        <v>5</v>
      </c>
      <c r="H41">
        <v>15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ndomRatios">
                <anchor moveWithCells="1">
                  <from>
                    <xdr:col>8</xdr:col>
                    <xdr:colOff>342900</xdr:colOff>
                    <xdr:row>1</xdr:row>
                    <xdr:rowOff>161925</xdr:rowOff>
                  </from>
                  <to>
                    <xdr:col>9</xdr:col>
                    <xdr:colOff>514350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Informes de turnos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</dc:creator>
  <cp:lastModifiedBy>Anthony</cp:lastModifiedBy>
  <dcterms:created xsi:type="dcterms:W3CDTF">2017-06-07T02:45:30Z</dcterms:created>
  <dcterms:modified xsi:type="dcterms:W3CDTF">2017-06-11T03:10:20Z</dcterms:modified>
</cp:coreProperties>
</file>